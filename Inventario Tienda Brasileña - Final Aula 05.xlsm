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A9695F5E-FE91-4A95-9600-64A816E5023E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25" r:id="rId1"/>
    <sheet name="Proveedores" sheetId="23" r:id="rId2"/>
    <sheet name="Plantilla SQL" sheetId="26" r:id="rId3"/>
  </sheets>
  <functionGroups builtInGroupCount="19"/>
  <definedNames>
    <definedName name="DatosExternos_1" localSheetId="0" hidden="1">'Productos de Niños'!$A$1:$I$136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1B3366-11CD-4EEB-B029-94EEC0CD8ADE}" keepAlive="1" name="Consulta - tb_Producto" description="Conexión a la consulta 'tb_Producto' en el libro." type="5" refreshedVersion="7" background="1" saveData="1">
    <dbPr connection="Provider=Microsoft.Mashup.OleDb.1;Data Source=$Workbook$;Location=tb_Producto;Extended Properties=&quot;&quot;" command="SELECT * FROM [tb_Producto]"/>
  </connection>
</connections>
</file>

<file path=xl/sharedStrings.xml><?xml version="1.0" encoding="utf-8"?>
<sst xmlns="http://schemas.openxmlformats.org/spreadsheetml/2006/main" count="297" uniqueCount="25">
  <si>
    <t>Calzado Infantil Azul</t>
  </si>
  <si>
    <t>Calzado Infantil Blanco</t>
  </si>
  <si>
    <t>Calzado Infantil Rojo</t>
  </si>
  <si>
    <t>Talla</t>
  </si>
  <si>
    <t>Precio</t>
  </si>
  <si>
    <t>Descuento</t>
  </si>
  <si>
    <t>Cantidad</t>
  </si>
  <si>
    <t>Producto</t>
  </si>
  <si>
    <t>Valor Bruto</t>
  </si>
  <si>
    <t>Valor Neto</t>
  </si>
  <si>
    <t>Alerta</t>
  </si>
  <si>
    <t>Baja</t>
  </si>
  <si>
    <t>Proveedor</t>
  </si>
  <si>
    <t>Proveedor 1</t>
  </si>
  <si>
    <t>Proveedor 2</t>
  </si>
  <si>
    <t>Proveedor 4</t>
  </si>
  <si>
    <t>Proveedor 5</t>
  </si>
  <si>
    <t>Proveedor 6</t>
  </si>
  <si>
    <t>Correo</t>
  </si>
  <si>
    <t>seu.nome@outlook.com.br</t>
  </si>
  <si>
    <t>Proveedor Cambiado</t>
  </si>
  <si>
    <t>Normal</t>
  </si>
  <si>
    <t>Id</t>
  </si>
  <si>
    <r>
      <rPr>
        <b/>
        <sz val="11"/>
        <color theme="1"/>
        <rFont val="Calibri"/>
        <family val="2"/>
        <scheme val="minor"/>
      </rPr>
      <t xml:space="preserve">INSERT INTO </t>
    </r>
    <r>
      <rPr>
        <sz val="11"/>
        <color theme="4"/>
        <rFont val="Calibri"/>
        <family val="2"/>
        <scheme val="minor"/>
      </rPr>
      <t>[Nombre_Tabla]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9" tint="-0.249977111117893"/>
        <rFont val="Calibri"/>
        <family val="2"/>
        <scheme val="minor"/>
      </rPr>
      <t>(Campo1, Campo2)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VALUES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9" tint="-0.249977111117893"/>
        <rFont val="Calibri"/>
        <family val="2"/>
        <scheme val="minor"/>
      </rPr>
      <t>('Texto1',99)</t>
    </r>
  </si>
  <si>
    <r>
      <rPr>
        <b/>
        <sz val="11"/>
        <color theme="1"/>
        <rFont val="Calibri"/>
        <family val="2"/>
        <scheme val="minor"/>
      </rPr>
      <t>UPDATE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4"/>
        <rFont val="Calibri"/>
        <family val="2"/>
        <scheme val="minor"/>
      </rPr>
      <t>[Nombre_Tabla]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SET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9" tint="-0.249977111117893"/>
        <rFont val="Calibri"/>
        <family val="2"/>
        <scheme val="minor"/>
      </rPr>
      <t xml:space="preserve">[Campo1] = 'Texto1', [Campo2]=99 </t>
    </r>
    <r>
      <rPr>
        <b/>
        <sz val="11"/>
        <color theme="1"/>
        <rFont val="Calibri"/>
        <family val="2"/>
        <scheme val="minor"/>
      </rPr>
      <t>WHERE</t>
    </r>
    <r>
      <rPr>
        <sz val="11"/>
        <color theme="9" tint="-0.249977111117893"/>
        <rFont val="Calibri"/>
        <family val="2"/>
        <scheme val="minor"/>
      </rPr>
      <t xml:space="preserve"> [Campo] = 99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</si>
</sst>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3" xfId="0" applyBorder="1"/>
    <xf numFmtId="0" fontId="0" fillId="0" borderId="4" xfId="0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5" fillId="0" borderId="5" xfId="1" applyBorder="1"/>
    <xf numFmtId="0" fontId="5" fillId="0" borderId="6" xfId="1" applyBorder="1"/>
    <xf numFmtId="0" fontId="0" fillId="0" borderId="7" xfId="0" applyFill="1" applyBorder="1"/>
    <xf numFmtId="0" fontId="0" fillId="0" borderId="6" xfId="0" applyBorder="1"/>
    <xf numFmtId="0" fontId="0" fillId="0" borderId="0" xfId="0" applyNumberFormat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0" fillId="0" borderId="0" xfId="0" applyNumberFormat="1" applyFill="1"/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76200</xdr:rowOff>
        </xdr:from>
        <xdr:to>
          <xdr:col>10</xdr:col>
          <xdr:colOff>361950</xdr:colOff>
          <xdr:row>2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9623B9F-96D0-4FB3-BE32-85143FD58774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Producto" tableColumnId="2"/>
      <queryTableField id="3" name="Talla" tableColumnId="3"/>
      <queryTableField id="4" name="Precio" tableColumnId="4"/>
      <queryTableField id="5" name="Descuento" tableColumnId="5"/>
      <queryTableField id="6" name="Cantidad" tableColumnId="6"/>
      <queryTableField id="7" name="Alerta" tableColumnId="7"/>
      <queryTableField id="8" name="Valor Bruto" tableColumnId="8"/>
      <queryTableField id="9" name="Valor Neto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459AE-60CB-406A-8668-6BF62794BECC}" name="tb_Producto" displayName="tb_Producto" ref="A1:I136" tableType="queryTable" totalsRowShown="0">
  <autoFilter ref="A1:I136" xr:uid="{A0F459AE-60CB-406A-8668-6BF62794BECC}">
    <filterColumn colId="1">
      <filters>
        <filter val="Calzado Infantil Blanco"/>
      </filters>
    </filterColumn>
    <filterColumn colId="2">
      <filters>
        <filter val="36"/>
      </filters>
    </filterColumn>
  </autoFilter>
  <tableColumns count="9">
    <tableColumn id="1" xr3:uid="{CBAD4B50-2C37-4F19-A5FD-FC36B17CBB73}" uniqueName="1" name="Id" queryTableFieldId="1"/>
    <tableColumn id="2" xr3:uid="{B48CCAF3-EDCD-457C-B66F-2D801BF03776}" uniqueName="2" name="Producto" queryTableFieldId="2" dataDxfId="1"/>
    <tableColumn id="3" xr3:uid="{FBC9E7C0-DD25-4EBB-A266-69C02E52F1E9}" uniqueName="3" name="Talla" queryTableFieldId="3"/>
    <tableColumn id="4" xr3:uid="{3ED94B88-E07F-449E-A06B-0E6B4063B405}" uniqueName="4" name="Precio" queryTableFieldId="4"/>
    <tableColumn id="5" xr3:uid="{B8C4BD7C-B681-4E54-8687-0A4755E73798}" uniqueName="5" name="Descuento" queryTableFieldId="5"/>
    <tableColumn id="6" xr3:uid="{4D43BE19-D74B-4F4C-A35A-608EADD43F67}" uniqueName="6" name="Cantidad" queryTableFieldId="6"/>
    <tableColumn id="7" xr3:uid="{143D21CE-AF4A-45BD-A92C-18246855EE31}" uniqueName="7" name="Alerta" queryTableFieldId="7" dataDxfId="0"/>
    <tableColumn id="8" xr3:uid="{112FA258-CEF7-4514-887B-7E6D239F6B31}" uniqueName="8" name="Valor Bruto" queryTableFieldId="8"/>
    <tableColumn id="9" xr3:uid="{AC5C66F3-B23D-4785-B887-3866B60BAB1B}" uniqueName="9" name="Valor Neto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seu.nome@outlook.com.br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75A1-9AD9-46DA-8861-DC12E8194500}">
  <sheetPr codeName="Hoja5"/>
  <dimension ref="A1:J136"/>
  <sheetViews>
    <sheetView tabSelected="1" zoomScale="150" zoomScaleNormal="150" workbookViewId="0">
      <selection activeCell="D139" sqref="D139"/>
    </sheetView>
  </sheetViews>
  <sheetFormatPr baseColWidth="10" defaultRowHeight="15" x14ac:dyDescent="0.25"/>
  <cols>
    <col min="1" max="1" width="5" bestFit="1" customWidth="1"/>
    <col min="2" max="2" width="21.28515625" bestFit="1" customWidth="1"/>
    <col min="3" max="3" width="7.42578125" bestFit="1" customWidth="1"/>
    <col min="4" max="4" width="8.85546875" bestFit="1" customWidth="1"/>
    <col min="5" max="5" width="12.7109375" bestFit="1" customWidth="1"/>
    <col min="6" max="6" width="11.140625" bestFit="1" customWidth="1"/>
    <col min="7" max="7" width="8.7109375" bestFit="1" customWidth="1"/>
    <col min="8" max="8" width="13.28515625" bestFit="1" customWidth="1"/>
    <col min="9" max="9" width="12.85546875" bestFit="1" customWidth="1"/>
  </cols>
  <sheetData>
    <row r="1" spans="1:10" x14ac:dyDescent="0.25">
      <c r="A1" t="s">
        <v>22</v>
      </c>
      <c r="B1" t="s">
        <v>7</v>
      </c>
      <c r="C1" t="s">
        <v>3</v>
      </c>
      <c r="D1" t="s">
        <v>4</v>
      </c>
      <c r="E1" t="s">
        <v>5</v>
      </c>
      <c r="F1" t="s">
        <v>6</v>
      </c>
      <c r="G1" t="s">
        <v>10</v>
      </c>
      <c r="H1" t="s">
        <v>8</v>
      </c>
      <c r="I1" t="s">
        <v>9</v>
      </c>
    </row>
    <row r="2" spans="1:10" hidden="1" x14ac:dyDescent="0.25">
      <c r="A2">
        <v>5</v>
      </c>
      <c r="B2" s="9" t="s">
        <v>0</v>
      </c>
      <c r="C2">
        <v>36</v>
      </c>
      <c r="D2">
        <v>21.66</v>
      </c>
      <c r="E2">
        <v>2.1659999999999999</v>
      </c>
      <c r="F2">
        <v>3</v>
      </c>
      <c r="G2" s="9" t="s">
        <v>11</v>
      </c>
      <c r="H2">
        <v>64.98</v>
      </c>
      <c r="I2">
        <v>58.481999999999999</v>
      </c>
    </row>
    <row r="3" spans="1:10" x14ac:dyDescent="0.25">
      <c r="A3" s="12">
        <v>6</v>
      </c>
      <c r="B3" s="13" t="s">
        <v>1</v>
      </c>
      <c r="C3" s="12">
        <v>36</v>
      </c>
      <c r="D3" s="12">
        <v>22.8</v>
      </c>
      <c r="E3" s="12">
        <v>2.2799999999999998</v>
      </c>
      <c r="F3" s="12">
        <v>26</v>
      </c>
      <c r="G3" s="13" t="s">
        <v>21</v>
      </c>
      <c r="H3" s="12">
        <v>592.79999999999995</v>
      </c>
      <c r="I3" s="12">
        <v>533.52</v>
      </c>
    </row>
    <row r="4" spans="1:10" hidden="1" x14ac:dyDescent="0.25">
      <c r="A4" s="12">
        <v>7</v>
      </c>
      <c r="B4" s="13" t="s">
        <v>2</v>
      </c>
      <c r="C4" s="12">
        <v>36</v>
      </c>
      <c r="D4" s="12">
        <v>20.51</v>
      </c>
      <c r="E4" s="12">
        <v>2.0510000000000002</v>
      </c>
      <c r="F4" s="12">
        <v>7</v>
      </c>
      <c r="G4" s="13" t="s">
        <v>11</v>
      </c>
      <c r="H4" s="12">
        <v>143.57</v>
      </c>
      <c r="I4" s="12">
        <v>129.21299999999999</v>
      </c>
      <c r="J4" s="12"/>
    </row>
    <row r="5" spans="1:10" hidden="1" x14ac:dyDescent="0.25">
      <c r="A5" s="12">
        <v>8</v>
      </c>
      <c r="B5" s="13" t="s">
        <v>0</v>
      </c>
      <c r="C5" s="12">
        <v>35</v>
      </c>
      <c r="D5" s="12">
        <v>21.66</v>
      </c>
      <c r="E5" s="12">
        <v>2.1659999999999999</v>
      </c>
      <c r="F5" s="12">
        <v>15</v>
      </c>
      <c r="G5" s="13" t="s">
        <v>21</v>
      </c>
      <c r="H5" s="12">
        <v>324.89999999999998</v>
      </c>
      <c r="I5" s="12">
        <v>292.41000000000003</v>
      </c>
      <c r="J5" s="12"/>
    </row>
    <row r="6" spans="1:10" hidden="1" x14ac:dyDescent="0.25">
      <c r="A6" s="12">
        <v>9</v>
      </c>
      <c r="B6" s="13" t="s">
        <v>1</v>
      </c>
      <c r="C6" s="12">
        <v>35</v>
      </c>
      <c r="D6" s="12">
        <v>22.8</v>
      </c>
      <c r="E6" s="12">
        <v>2.2799999999999998</v>
      </c>
      <c r="F6" s="12">
        <v>31</v>
      </c>
      <c r="G6" s="13" t="s">
        <v>21</v>
      </c>
      <c r="H6" s="12">
        <v>706.8</v>
      </c>
      <c r="I6" s="12">
        <v>636.12</v>
      </c>
      <c r="J6" s="12"/>
    </row>
    <row r="7" spans="1:10" hidden="1" x14ac:dyDescent="0.25">
      <c r="A7" s="12">
        <v>10</v>
      </c>
      <c r="B7" s="13" t="s">
        <v>2</v>
      </c>
      <c r="C7" s="12">
        <v>35</v>
      </c>
      <c r="D7" s="12">
        <v>20.52</v>
      </c>
      <c r="E7" s="12">
        <v>2.052</v>
      </c>
      <c r="F7" s="12">
        <v>7</v>
      </c>
      <c r="G7" s="13" t="s">
        <v>11</v>
      </c>
      <c r="H7" s="12">
        <v>143.63999999999999</v>
      </c>
      <c r="I7" s="12">
        <v>129.27600000000001</v>
      </c>
      <c r="J7" s="12"/>
    </row>
    <row r="8" spans="1:10" hidden="1" x14ac:dyDescent="0.25">
      <c r="A8" s="12">
        <v>11</v>
      </c>
      <c r="B8" s="13" t="s">
        <v>0</v>
      </c>
      <c r="C8" s="12">
        <v>36</v>
      </c>
      <c r="D8" s="12">
        <v>23</v>
      </c>
      <c r="E8" s="12">
        <v>2.2999999999999998</v>
      </c>
      <c r="F8" s="12">
        <v>21</v>
      </c>
      <c r="G8" s="13" t="s">
        <v>21</v>
      </c>
      <c r="H8" s="12">
        <v>483</v>
      </c>
      <c r="I8" s="12">
        <v>434.7</v>
      </c>
    </row>
    <row r="9" spans="1:10" hidden="1" x14ac:dyDescent="0.25">
      <c r="A9" s="12">
        <v>12</v>
      </c>
      <c r="B9" s="13" t="s">
        <v>1</v>
      </c>
      <c r="C9" s="12">
        <v>34</v>
      </c>
      <c r="D9" s="12">
        <v>22.8</v>
      </c>
      <c r="E9" s="12">
        <v>2.2799999999999998</v>
      </c>
      <c r="F9" s="12">
        <v>19</v>
      </c>
      <c r="G9" s="13" t="s">
        <v>21</v>
      </c>
      <c r="H9" s="12">
        <v>433.2</v>
      </c>
      <c r="I9" s="12">
        <v>389.88</v>
      </c>
    </row>
    <row r="10" spans="1:10" hidden="1" x14ac:dyDescent="0.25">
      <c r="A10" s="12">
        <v>13</v>
      </c>
      <c r="B10" s="13" t="s">
        <v>2</v>
      </c>
      <c r="C10" s="12">
        <v>34</v>
      </c>
      <c r="D10" s="12">
        <v>20.52</v>
      </c>
      <c r="E10" s="12">
        <v>2.052</v>
      </c>
      <c r="F10" s="12">
        <v>11</v>
      </c>
      <c r="G10" s="13" t="s">
        <v>21</v>
      </c>
      <c r="H10" s="12">
        <v>225.72</v>
      </c>
      <c r="I10" s="12">
        <v>203.148</v>
      </c>
    </row>
    <row r="11" spans="1:10" hidden="1" x14ac:dyDescent="0.25">
      <c r="A11" s="12">
        <v>14</v>
      </c>
      <c r="B11" s="13" t="s">
        <v>0</v>
      </c>
      <c r="C11" s="12">
        <v>33</v>
      </c>
      <c r="D11" s="12">
        <v>21.66</v>
      </c>
      <c r="E11" s="12">
        <v>2.1659999999999999</v>
      </c>
      <c r="F11" s="12">
        <v>23</v>
      </c>
      <c r="G11" s="13" t="s">
        <v>21</v>
      </c>
      <c r="H11" s="12">
        <v>498.18</v>
      </c>
      <c r="I11" s="12">
        <v>448.36200000000002</v>
      </c>
    </row>
    <row r="12" spans="1:10" hidden="1" x14ac:dyDescent="0.25">
      <c r="A12" s="12">
        <v>15</v>
      </c>
      <c r="B12" s="13" t="s">
        <v>1</v>
      </c>
      <c r="C12" s="12">
        <v>33</v>
      </c>
      <c r="D12" s="12">
        <v>22.8</v>
      </c>
      <c r="E12" s="12">
        <v>2.2799999999999998</v>
      </c>
      <c r="F12" s="12">
        <v>11</v>
      </c>
      <c r="G12" s="13" t="s">
        <v>21</v>
      </c>
      <c r="H12" s="12">
        <v>250.8</v>
      </c>
      <c r="I12" s="12">
        <v>225.72</v>
      </c>
    </row>
    <row r="13" spans="1:10" hidden="1" x14ac:dyDescent="0.25">
      <c r="A13" s="12">
        <v>16</v>
      </c>
      <c r="B13" s="13" t="s">
        <v>2</v>
      </c>
      <c r="C13" s="12">
        <v>33</v>
      </c>
      <c r="D13" s="12">
        <v>20.52</v>
      </c>
      <c r="E13" s="12">
        <v>2.052</v>
      </c>
      <c r="F13" s="12">
        <v>12</v>
      </c>
      <c r="G13" s="13" t="s">
        <v>21</v>
      </c>
      <c r="H13" s="12">
        <v>246.24</v>
      </c>
      <c r="I13" s="12">
        <v>221.61600000000001</v>
      </c>
    </row>
    <row r="14" spans="1:10" hidden="1" x14ac:dyDescent="0.25">
      <c r="A14" s="12">
        <v>17</v>
      </c>
      <c r="B14" s="13" t="s">
        <v>0</v>
      </c>
      <c r="C14" s="12">
        <v>32</v>
      </c>
      <c r="D14" s="12">
        <v>21.66</v>
      </c>
      <c r="E14" s="12">
        <v>2.1659999999999999</v>
      </c>
      <c r="F14" s="12">
        <v>31</v>
      </c>
      <c r="G14" s="13" t="s">
        <v>21</v>
      </c>
      <c r="H14" s="12">
        <v>671.46</v>
      </c>
      <c r="I14" s="12">
        <v>604.31399999999996</v>
      </c>
    </row>
    <row r="15" spans="1:10" hidden="1" x14ac:dyDescent="0.25">
      <c r="A15" s="12">
        <v>18</v>
      </c>
      <c r="B15" s="13" t="s">
        <v>1</v>
      </c>
      <c r="C15" s="12">
        <v>32</v>
      </c>
      <c r="D15" s="12">
        <v>22.8</v>
      </c>
      <c r="E15" s="12">
        <v>2.2799999999999998</v>
      </c>
      <c r="F15" s="12">
        <v>12</v>
      </c>
      <c r="G15" s="13" t="s">
        <v>21</v>
      </c>
      <c r="H15" s="12">
        <v>273.60000000000002</v>
      </c>
      <c r="I15" s="12">
        <v>246.24</v>
      </c>
    </row>
    <row r="16" spans="1:10" hidden="1" x14ac:dyDescent="0.25">
      <c r="A16" s="12">
        <v>19</v>
      </c>
      <c r="B16" s="13" t="s">
        <v>2</v>
      </c>
      <c r="C16" s="12">
        <v>32</v>
      </c>
      <c r="D16" s="12">
        <v>20.52</v>
      </c>
      <c r="E16" s="12">
        <v>2.052</v>
      </c>
      <c r="F16" s="12">
        <v>0</v>
      </c>
      <c r="G16" s="13" t="s">
        <v>11</v>
      </c>
      <c r="H16" s="12">
        <v>0</v>
      </c>
      <c r="I16" s="12">
        <v>0</v>
      </c>
    </row>
    <row r="17" spans="1:9" hidden="1" x14ac:dyDescent="0.25">
      <c r="A17">
        <v>20</v>
      </c>
      <c r="B17" s="9" t="s">
        <v>0</v>
      </c>
      <c r="C17">
        <v>31</v>
      </c>
      <c r="D17">
        <v>21.66</v>
      </c>
      <c r="E17">
        <v>2.1659999999999999</v>
      </c>
      <c r="F17">
        <v>5</v>
      </c>
      <c r="G17" s="9" t="s">
        <v>11</v>
      </c>
      <c r="H17">
        <v>108.3</v>
      </c>
      <c r="I17">
        <v>97.47</v>
      </c>
    </row>
    <row r="18" spans="1:9" hidden="1" x14ac:dyDescent="0.25">
      <c r="A18">
        <v>21</v>
      </c>
      <c r="B18" s="9" t="s">
        <v>1</v>
      </c>
      <c r="C18">
        <v>31</v>
      </c>
      <c r="D18">
        <v>22.8</v>
      </c>
      <c r="E18">
        <v>2.2799999999999998</v>
      </c>
      <c r="F18">
        <v>24</v>
      </c>
      <c r="G18" s="9" t="s">
        <v>21</v>
      </c>
      <c r="H18">
        <v>547.20000000000005</v>
      </c>
      <c r="I18">
        <v>492.48</v>
      </c>
    </row>
    <row r="19" spans="1:9" hidden="1" x14ac:dyDescent="0.25">
      <c r="A19">
        <v>22</v>
      </c>
      <c r="B19" s="9" t="s">
        <v>2</v>
      </c>
      <c r="C19">
        <v>31</v>
      </c>
      <c r="D19">
        <v>20.52</v>
      </c>
      <c r="E19">
        <v>2.052</v>
      </c>
      <c r="F19">
        <v>32</v>
      </c>
      <c r="G19" s="9" t="s">
        <v>21</v>
      </c>
      <c r="H19">
        <v>656.64</v>
      </c>
      <c r="I19">
        <v>590.976</v>
      </c>
    </row>
    <row r="20" spans="1:9" hidden="1" x14ac:dyDescent="0.25">
      <c r="A20">
        <v>23</v>
      </c>
      <c r="B20" s="9" t="s">
        <v>0</v>
      </c>
      <c r="C20">
        <v>30</v>
      </c>
      <c r="D20">
        <v>19.475000000000001</v>
      </c>
      <c r="E20">
        <v>1.9475</v>
      </c>
      <c r="F20">
        <v>2</v>
      </c>
      <c r="G20" s="9" t="s">
        <v>11</v>
      </c>
      <c r="H20">
        <v>38.950000000000003</v>
      </c>
      <c r="I20">
        <v>35.055</v>
      </c>
    </row>
    <row r="21" spans="1:9" hidden="1" x14ac:dyDescent="0.25">
      <c r="A21">
        <v>24</v>
      </c>
      <c r="B21" s="9" t="s">
        <v>1</v>
      </c>
      <c r="C21">
        <v>30</v>
      </c>
      <c r="D21">
        <v>20.5</v>
      </c>
      <c r="E21">
        <v>2.0499999999999998</v>
      </c>
      <c r="F21">
        <v>0</v>
      </c>
      <c r="G21" s="9" t="s">
        <v>11</v>
      </c>
      <c r="H21">
        <v>0</v>
      </c>
      <c r="I21">
        <v>0</v>
      </c>
    </row>
    <row r="22" spans="1:9" hidden="1" x14ac:dyDescent="0.25">
      <c r="A22">
        <v>25</v>
      </c>
      <c r="B22" s="9" t="s">
        <v>2</v>
      </c>
      <c r="C22">
        <v>30</v>
      </c>
      <c r="D22">
        <v>18.45</v>
      </c>
      <c r="E22">
        <v>1.845</v>
      </c>
      <c r="F22">
        <v>28</v>
      </c>
      <c r="G22" s="9" t="s">
        <v>21</v>
      </c>
      <c r="H22">
        <v>516.6</v>
      </c>
      <c r="I22">
        <v>464.94</v>
      </c>
    </row>
    <row r="23" spans="1:9" hidden="1" x14ac:dyDescent="0.25">
      <c r="A23">
        <v>26</v>
      </c>
      <c r="B23" s="9" t="s">
        <v>0</v>
      </c>
      <c r="C23">
        <v>29</v>
      </c>
      <c r="D23">
        <v>19.475000000000001</v>
      </c>
      <c r="E23">
        <v>1.9475</v>
      </c>
      <c r="F23">
        <v>32</v>
      </c>
      <c r="G23" s="9" t="s">
        <v>21</v>
      </c>
      <c r="H23">
        <v>623.20000000000005</v>
      </c>
      <c r="I23">
        <v>560.88</v>
      </c>
    </row>
    <row r="24" spans="1:9" hidden="1" x14ac:dyDescent="0.25">
      <c r="A24">
        <v>27</v>
      </c>
      <c r="B24" s="9" t="s">
        <v>1</v>
      </c>
      <c r="C24">
        <v>29</v>
      </c>
      <c r="D24">
        <v>20.5</v>
      </c>
      <c r="E24">
        <v>2.0499999999999998</v>
      </c>
      <c r="F24">
        <v>0</v>
      </c>
      <c r="G24" s="9" t="s">
        <v>11</v>
      </c>
      <c r="H24">
        <v>0</v>
      </c>
      <c r="I24">
        <v>0</v>
      </c>
    </row>
    <row r="25" spans="1:9" hidden="1" x14ac:dyDescent="0.25">
      <c r="A25">
        <v>28</v>
      </c>
      <c r="B25" s="9" t="s">
        <v>2</v>
      </c>
      <c r="C25">
        <v>29</v>
      </c>
      <c r="D25">
        <v>18.45</v>
      </c>
      <c r="E25">
        <v>1.845</v>
      </c>
      <c r="F25">
        <v>25</v>
      </c>
      <c r="G25" s="9" t="s">
        <v>21</v>
      </c>
      <c r="H25">
        <v>461.25</v>
      </c>
      <c r="I25">
        <v>415.125</v>
      </c>
    </row>
    <row r="26" spans="1:9" hidden="1" x14ac:dyDescent="0.25">
      <c r="A26">
        <v>29</v>
      </c>
      <c r="B26" s="9" t="s">
        <v>0</v>
      </c>
      <c r="C26">
        <v>28</v>
      </c>
      <c r="D26">
        <v>19.475000000000001</v>
      </c>
      <c r="E26">
        <v>1.9475</v>
      </c>
      <c r="F26">
        <v>23</v>
      </c>
      <c r="G26" s="9" t="s">
        <v>21</v>
      </c>
      <c r="H26">
        <v>447.92500000000001</v>
      </c>
      <c r="I26">
        <v>403.13249999999999</v>
      </c>
    </row>
    <row r="27" spans="1:9" hidden="1" x14ac:dyDescent="0.25">
      <c r="A27">
        <v>30</v>
      </c>
      <c r="B27" s="9" t="s">
        <v>1</v>
      </c>
      <c r="C27">
        <v>28</v>
      </c>
      <c r="D27">
        <v>20.5</v>
      </c>
      <c r="E27">
        <v>2.0499999999999998</v>
      </c>
      <c r="F27">
        <v>3</v>
      </c>
      <c r="G27" s="9" t="s">
        <v>11</v>
      </c>
      <c r="H27">
        <v>61.5</v>
      </c>
      <c r="I27">
        <v>55.35</v>
      </c>
    </row>
    <row r="28" spans="1:9" hidden="1" x14ac:dyDescent="0.25">
      <c r="A28">
        <v>31</v>
      </c>
      <c r="B28" s="9" t="s">
        <v>2</v>
      </c>
      <c r="C28">
        <v>28</v>
      </c>
      <c r="D28">
        <v>18.45</v>
      </c>
      <c r="E28">
        <v>1.845</v>
      </c>
      <c r="F28">
        <v>0</v>
      </c>
      <c r="G28" s="9" t="s">
        <v>11</v>
      </c>
      <c r="H28">
        <v>0</v>
      </c>
      <c r="I28">
        <v>0</v>
      </c>
    </row>
    <row r="29" spans="1:9" hidden="1" x14ac:dyDescent="0.25">
      <c r="A29">
        <v>32</v>
      </c>
      <c r="B29" s="9" t="s">
        <v>0</v>
      </c>
      <c r="C29">
        <v>27</v>
      </c>
      <c r="D29">
        <v>19.475000000000001</v>
      </c>
      <c r="E29">
        <v>1.9475</v>
      </c>
      <c r="F29">
        <v>19</v>
      </c>
      <c r="G29" s="9" t="s">
        <v>21</v>
      </c>
      <c r="H29">
        <v>370.02499999999998</v>
      </c>
      <c r="I29">
        <v>333.02249999999998</v>
      </c>
    </row>
    <row r="30" spans="1:9" hidden="1" x14ac:dyDescent="0.25">
      <c r="A30">
        <v>33</v>
      </c>
      <c r="B30" s="9" t="s">
        <v>1</v>
      </c>
      <c r="C30">
        <v>27</v>
      </c>
      <c r="D30">
        <v>20.5</v>
      </c>
      <c r="E30">
        <v>2.0499999999999998</v>
      </c>
      <c r="F30">
        <v>12</v>
      </c>
      <c r="G30" s="9" t="s">
        <v>21</v>
      </c>
      <c r="H30">
        <v>246</v>
      </c>
      <c r="I30">
        <v>221.4</v>
      </c>
    </row>
    <row r="31" spans="1:9" hidden="1" x14ac:dyDescent="0.25">
      <c r="A31">
        <v>34</v>
      </c>
      <c r="B31" s="9" t="s">
        <v>2</v>
      </c>
      <c r="C31">
        <v>27</v>
      </c>
      <c r="D31">
        <v>18.45</v>
      </c>
      <c r="E31">
        <v>1.845</v>
      </c>
      <c r="F31">
        <v>5</v>
      </c>
      <c r="G31" s="9" t="s">
        <v>11</v>
      </c>
      <c r="H31">
        <v>92.25</v>
      </c>
      <c r="I31">
        <v>83.025000000000006</v>
      </c>
    </row>
    <row r="32" spans="1:9" hidden="1" x14ac:dyDescent="0.25">
      <c r="A32">
        <v>35</v>
      </c>
      <c r="B32" s="9" t="s">
        <v>0</v>
      </c>
      <c r="C32">
        <v>26</v>
      </c>
      <c r="D32">
        <v>19.475000000000001</v>
      </c>
      <c r="E32">
        <v>1.9475</v>
      </c>
      <c r="F32">
        <v>30</v>
      </c>
      <c r="G32" s="9" t="s">
        <v>21</v>
      </c>
      <c r="H32">
        <v>584.25</v>
      </c>
      <c r="I32">
        <v>525.82500000000005</v>
      </c>
    </row>
    <row r="33" spans="1:9" hidden="1" x14ac:dyDescent="0.25">
      <c r="A33">
        <v>36</v>
      </c>
      <c r="B33" s="9" t="s">
        <v>1</v>
      </c>
      <c r="C33">
        <v>26</v>
      </c>
      <c r="D33">
        <v>20.5</v>
      </c>
      <c r="E33">
        <v>2.0499999999999998</v>
      </c>
      <c r="F33">
        <v>35</v>
      </c>
      <c r="G33" s="9" t="s">
        <v>21</v>
      </c>
      <c r="H33">
        <v>717.5</v>
      </c>
      <c r="I33">
        <v>645.75</v>
      </c>
    </row>
    <row r="34" spans="1:9" hidden="1" x14ac:dyDescent="0.25">
      <c r="A34">
        <v>37</v>
      </c>
      <c r="B34" s="9" t="s">
        <v>2</v>
      </c>
      <c r="C34">
        <v>26</v>
      </c>
      <c r="D34">
        <v>18.45</v>
      </c>
      <c r="E34">
        <v>1.845</v>
      </c>
      <c r="F34">
        <v>12</v>
      </c>
      <c r="G34" s="9" t="s">
        <v>21</v>
      </c>
      <c r="H34">
        <v>221.4</v>
      </c>
      <c r="I34">
        <v>199.26</v>
      </c>
    </row>
    <row r="35" spans="1:9" hidden="1" x14ac:dyDescent="0.25">
      <c r="A35">
        <v>38</v>
      </c>
      <c r="B35" s="9" t="s">
        <v>0</v>
      </c>
      <c r="C35">
        <v>25</v>
      </c>
      <c r="D35">
        <v>19.475000000000001</v>
      </c>
      <c r="E35">
        <v>1.9475</v>
      </c>
      <c r="F35">
        <v>20</v>
      </c>
      <c r="G35" s="9" t="s">
        <v>21</v>
      </c>
      <c r="H35">
        <v>389.5</v>
      </c>
      <c r="I35">
        <v>350.55</v>
      </c>
    </row>
    <row r="36" spans="1:9" hidden="1" x14ac:dyDescent="0.25">
      <c r="A36">
        <v>39</v>
      </c>
      <c r="B36" s="9" t="s">
        <v>1</v>
      </c>
      <c r="C36">
        <v>25</v>
      </c>
      <c r="D36">
        <v>25.3</v>
      </c>
      <c r="E36">
        <v>2.5299999999999998</v>
      </c>
      <c r="F36">
        <v>25</v>
      </c>
      <c r="G36" s="9" t="s">
        <v>21</v>
      </c>
      <c r="H36">
        <v>632.5</v>
      </c>
      <c r="I36">
        <v>569.25</v>
      </c>
    </row>
    <row r="37" spans="1:9" hidden="1" x14ac:dyDescent="0.25">
      <c r="A37">
        <v>40</v>
      </c>
      <c r="B37" s="9" t="s">
        <v>2</v>
      </c>
      <c r="C37">
        <v>25</v>
      </c>
      <c r="D37">
        <v>18.45</v>
      </c>
      <c r="E37">
        <v>1.845</v>
      </c>
      <c r="F37">
        <v>16</v>
      </c>
      <c r="G37" s="9" t="s">
        <v>21</v>
      </c>
      <c r="H37">
        <v>295.2</v>
      </c>
      <c r="I37">
        <v>265.68</v>
      </c>
    </row>
    <row r="38" spans="1:9" hidden="1" x14ac:dyDescent="0.25">
      <c r="A38">
        <v>41</v>
      </c>
      <c r="B38" s="9" t="s">
        <v>0</v>
      </c>
      <c r="C38">
        <v>24</v>
      </c>
      <c r="D38">
        <v>18.905000000000001</v>
      </c>
      <c r="E38">
        <v>1.8905000000000001</v>
      </c>
      <c r="F38">
        <v>15</v>
      </c>
      <c r="G38" s="9" t="s">
        <v>21</v>
      </c>
      <c r="H38">
        <v>283.57499999999999</v>
      </c>
      <c r="I38">
        <v>255.2175</v>
      </c>
    </row>
    <row r="39" spans="1:9" hidden="1" x14ac:dyDescent="0.25">
      <c r="A39">
        <v>42</v>
      </c>
      <c r="B39" s="9" t="s">
        <v>1</v>
      </c>
      <c r="C39">
        <v>24</v>
      </c>
      <c r="D39">
        <v>19.899999999999999</v>
      </c>
      <c r="E39">
        <v>1.99</v>
      </c>
      <c r="F39">
        <v>23</v>
      </c>
      <c r="G39" s="9" t="s">
        <v>21</v>
      </c>
      <c r="H39">
        <v>457.7</v>
      </c>
      <c r="I39">
        <v>411.93</v>
      </c>
    </row>
    <row r="40" spans="1:9" hidden="1" x14ac:dyDescent="0.25">
      <c r="A40">
        <v>43</v>
      </c>
      <c r="B40" s="9" t="s">
        <v>2</v>
      </c>
      <c r="C40">
        <v>24</v>
      </c>
      <c r="D40">
        <v>17.91</v>
      </c>
      <c r="E40">
        <v>1.7909999999999999</v>
      </c>
      <c r="F40">
        <v>32</v>
      </c>
      <c r="G40" s="9" t="s">
        <v>21</v>
      </c>
      <c r="H40">
        <v>573.12</v>
      </c>
      <c r="I40">
        <v>515.80799999999999</v>
      </c>
    </row>
    <row r="41" spans="1:9" hidden="1" x14ac:dyDescent="0.25">
      <c r="A41">
        <v>44</v>
      </c>
      <c r="B41" s="9" t="s">
        <v>0</v>
      </c>
      <c r="C41">
        <v>23</v>
      </c>
      <c r="D41">
        <v>18.905000000000001</v>
      </c>
      <c r="E41">
        <v>1.8905000000000001</v>
      </c>
      <c r="F41">
        <v>0</v>
      </c>
      <c r="G41" s="9" t="s">
        <v>11</v>
      </c>
      <c r="H41">
        <v>0</v>
      </c>
      <c r="I41">
        <v>0</v>
      </c>
    </row>
    <row r="42" spans="1:9" hidden="1" x14ac:dyDescent="0.25">
      <c r="A42">
        <v>45</v>
      </c>
      <c r="B42" s="9" t="s">
        <v>1</v>
      </c>
      <c r="C42">
        <v>23</v>
      </c>
      <c r="D42">
        <v>19.899999999999999</v>
      </c>
      <c r="E42">
        <v>1.99</v>
      </c>
      <c r="F42">
        <v>15</v>
      </c>
      <c r="G42" s="9" t="s">
        <v>21</v>
      </c>
      <c r="H42">
        <v>298.5</v>
      </c>
      <c r="I42">
        <v>268.64999999999998</v>
      </c>
    </row>
    <row r="43" spans="1:9" hidden="1" x14ac:dyDescent="0.25">
      <c r="A43">
        <v>46</v>
      </c>
      <c r="B43" s="9" t="s">
        <v>2</v>
      </c>
      <c r="C43">
        <v>23</v>
      </c>
      <c r="D43">
        <v>17.91</v>
      </c>
      <c r="E43">
        <v>1.7909999999999999</v>
      </c>
      <c r="F43">
        <v>35</v>
      </c>
      <c r="G43" s="9" t="s">
        <v>21</v>
      </c>
      <c r="H43">
        <v>626.85</v>
      </c>
      <c r="I43">
        <v>564.16499999999996</v>
      </c>
    </row>
    <row r="44" spans="1:9" hidden="1" x14ac:dyDescent="0.25">
      <c r="A44">
        <v>47</v>
      </c>
      <c r="B44" s="9" t="s">
        <v>0</v>
      </c>
      <c r="C44">
        <v>22</v>
      </c>
      <c r="D44">
        <v>18.905000000000001</v>
      </c>
      <c r="E44">
        <v>1.8905000000000001</v>
      </c>
      <c r="F44">
        <v>2</v>
      </c>
      <c r="G44" s="9" t="s">
        <v>11</v>
      </c>
      <c r="H44">
        <v>37.81</v>
      </c>
      <c r="I44">
        <v>34.029000000000003</v>
      </c>
    </row>
    <row r="45" spans="1:9" hidden="1" x14ac:dyDescent="0.25">
      <c r="A45">
        <v>48</v>
      </c>
      <c r="B45" s="9" t="s">
        <v>1</v>
      </c>
      <c r="C45">
        <v>22</v>
      </c>
      <c r="D45">
        <v>19.899999999999999</v>
      </c>
      <c r="E45">
        <v>1.99</v>
      </c>
      <c r="F45">
        <v>12</v>
      </c>
      <c r="G45" s="9" t="s">
        <v>21</v>
      </c>
      <c r="H45">
        <v>238.8</v>
      </c>
      <c r="I45">
        <v>214.92</v>
      </c>
    </row>
    <row r="46" spans="1:9" hidden="1" x14ac:dyDescent="0.25">
      <c r="A46">
        <v>49</v>
      </c>
      <c r="B46" s="9" t="s">
        <v>2</v>
      </c>
      <c r="C46">
        <v>22</v>
      </c>
      <c r="D46">
        <v>17.91</v>
      </c>
      <c r="E46">
        <v>1.7909999999999999</v>
      </c>
      <c r="F46">
        <v>29</v>
      </c>
      <c r="G46" s="9" t="s">
        <v>21</v>
      </c>
      <c r="H46">
        <v>519.39</v>
      </c>
      <c r="I46">
        <v>467.45100000000002</v>
      </c>
    </row>
    <row r="47" spans="1:9" hidden="1" x14ac:dyDescent="0.25">
      <c r="A47">
        <v>50</v>
      </c>
      <c r="B47" s="9" t="s">
        <v>0</v>
      </c>
      <c r="C47">
        <v>21</v>
      </c>
      <c r="D47">
        <v>18.905000000000001</v>
      </c>
      <c r="E47">
        <v>1.8905000000000001</v>
      </c>
      <c r="F47">
        <v>10</v>
      </c>
      <c r="G47" s="9" t="s">
        <v>21</v>
      </c>
      <c r="H47">
        <v>189.05</v>
      </c>
      <c r="I47">
        <v>170.14500000000001</v>
      </c>
    </row>
    <row r="48" spans="1:9" hidden="1" x14ac:dyDescent="0.25">
      <c r="A48">
        <v>51</v>
      </c>
      <c r="B48" s="9" t="s">
        <v>1</v>
      </c>
      <c r="C48">
        <v>21</v>
      </c>
      <c r="D48">
        <v>19.899999999999999</v>
      </c>
      <c r="E48">
        <v>1.99</v>
      </c>
      <c r="F48">
        <v>10</v>
      </c>
      <c r="G48" s="9" t="s">
        <v>21</v>
      </c>
      <c r="H48">
        <v>199</v>
      </c>
      <c r="I48">
        <v>179.1</v>
      </c>
    </row>
    <row r="49" spans="1:9" hidden="1" x14ac:dyDescent="0.25">
      <c r="A49">
        <v>52</v>
      </c>
      <c r="B49" s="9" t="s">
        <v>2</v>
      </c>
      <c r="C49">
        <v>21</v>
      </c>
      <c r="D49">
        <v>17.91</v>
      </c>
      <c r="E49">
        <v>1.7909999999999999</v>
      </c>
      <c r="F49">
        <v>27</v>
      </c>
      <c r="G49" s="9" t="s">
        <v>21</v>
      </c>
      <c r="H49">
        <v>483.57</v>
      </c>
      <c r="I49">
        <v>435.21300000000002</v>
      </c>
    </row>
    <row r="50" spans="1:9" hidden="1" x14ac:dyDescent="0.25">
      <c r="A50">
        <v>53</v>
      </c>
      <c r="B50" s="9" t="s">
        <v>0</v>
      </c>
      <c r="C50">
        <v>20</v>
      </c>
      <c r="D50">
        <v>18.905000000000001</v>
      </c>
      <c r="E50">
        <v>1.8905000000000001</v>
      </c>
      <c r="F50">
        <v>15</v>
      </c>
      <c r="G50" s="9" t="s">
        <v>21</v>
      </c>
      <c r="H50">
        <v>283.57499999999999</v>
      </c>
      <c r="I50">
        <v>255.2175</v>
      </c>
    </row>
    <row r="51" spans="1:9" hidden="1" x14ac:dyDescent="0.25">
      <c r="A51">
        <v>54</v>
      </c>
      <c r="B51" s="9" t="s">
        <v>1</v>
      </c>
      <c r="C51">
        <v>20</v>
      </c>
      <c r="D51">
        <v>19.899999999999999</v>
      </c>
      <c r="E51">
        <v>1.99</v>
      </c>
      <c r="F51">
        <v>32</v>
      </c>
      <c r="G51" s="9" t="s">
        <v>21</v>
      </c>
      <c r="H51">
        <v>636.79999999999995</v>
      </c>
      <c r="I51">
        <v>573.12</v>
      </c>
    </row>
    <row r="52" spans="1:9" hidden="1" x14ac:dyDescent="0.25">
      <c r="A52">
        <v>55</v>
      </c>
      <c r="B52" s="9" t="s">
        <v>2</v>
      </c>
      <c r="C52">
        <v>20</v>
      </c>
      <c r="D52">
        <v>17.91</v>
      </c>
      <c r="E52">
        <v>1.7909999999999999</v>
      </c>
      <c r="F52">
        <v>5</v>
      </c>
      <c r="G52" s="9" t="s">
        <v>11</v>
      </c>
      <c r="H52">
        <v>89.55</v>
      </c>
      <c r="I52">
        <v>80.594999999999999</v>
      </c>
    </row>
    <row r="53" spans="1:9" hidden="1" x14ac:dyDescent="0.25">
      <c r="A53">
        <v>56</v>
      </c>
      <c r="B53" s="9" t="s">
        <v>0</v>
      </c>
      <c r="C53">
        <v>19</v>
      </c>
      <c r="D53">
        <v>17.29</v>
      </c>
      <c r="E53">
        <v>1.7290000000000001</v>
      </c>
      <c r="F53">
        <v>20</v>
      </c>
      <c r="G53" s="9" t="s">
        <v>21</v>
      </c>
      <c r="H53">
        <v>345.8</v>
      </c>
      <c r="I53">
        <v>311.22000000000003</v>
      </c>
    </row>
    <row r="54" spans="1:9" hidden="1" x14ac:dyDescent="0.25">
      <c r="A54">
        <v>57</v>
      </c>
      <c r="B54" s="9" t="s">
        <v>1</v>
      </c>
      <c r="C54">
        <v>19</v>
      </c>
      <c r="D54">
        <v>18.2</v>
      </c>
      <c r="E54">
        <v>1.82</v>
      </c>
      <c r="F54">
        <v>25</v>
      </c>
      <c r="G54" s="9" t="s">
        <v>21</v>
      </c>
      <c r="H54">
        <v>455</v>
      </c>
      <c r="I54">
        <v>409.5</v>
      </c>
    </row>
    <row r="55" spans="1:9" hidden="1" x14ac:dyDescent="0.25">
      <c r="A55">
        <v>58</v>
      </c>
      <c r="B55" s="9" t="s">
        <v>2</v>
      </c>
      <c r="C55">
        <v>19</v>
      </c>
      <c r="D55">
        <v>16.38</v>
      </c>
      <c r="E55">
        <v>1.6379999999999999</v>
      </c>
      <c r="F55">
        <v>3</v>
      </c>
      <c r="G55" s="9" t="s">
        <v>11</v>
      </c>
      <c r="H55">
        <v>49.14</v>
      </c>
      <c r="I55">
        <v>44.225999999999999</v>
      </c>
    </row>
    <row r="56" spans="1:9" hidden="1" x14ac:dyDescent="0.25">
      <c r="A56">
        <v>59</v>
      </c>
      <c r="B56" s="9" t="s">
        <v>0</v>
      </c>
      <c r="C56">
        <v>18</v>
      </c>
      <c r="D56">
        <v>17.29</v>
      </c>
      <c r="E56">
        <v>1.7290000000000001</v>
      </c>
      <c r="F56">
        <v>3</v>
      </c>
      <c r="G56" s="9" t="s">
        <v>11</v>
      </c>
      <c r="H56">
        <v>51.87</v>
      </c>
      <c r="I56">
        <v>46.683</v>
      </c>
    </row>
    <row r="57" spans="1:9" hidden="1" x14ac:dyDescent="0.25">
      <c r="A57">
        <v>60</v>
      </c>
      <c r="B57" s="9" t="s">
        <v>1</v>
      </c>
      <c r="C57">
        <v>18</v>
      </c>
      <c r="D57">
        <v>18.2</v>
      </c>
      <c r="E57">
        <v>1.82</v>
      </c>
      <c r="F57">
        <v>4</v>
      </c>
      <c r="G57" s="9" t="s">
        <v>11</v>
      </c>
      <c r="H57">
        <v>72.8</v>
      </c>
      <c r="I57">
        <v>65.52</v>
      </c>
    </row>
    <row r="58" spans="1:9" hidden="1" x14ac:dyDescent="0.25">
      <c r="A58">
        <v>61</v>
      </c>
      <c r="B58" s="9" t="s">
        <v>2</v>
      </c>
      <c r="C58">
        <v>18</v>
      </c>
      <c r="D58">
        <v>16.38</v>
      </c>
      <c r="E58">
        <v>1.6379999999999999</v>
      </c>
      <c r="F58">
        <v>12</v>
      </c>
      <c r="G58" s="9" t="s">
        <v>21</v>
      </c>
      <c r="H58">
        <v>196.56</v>
      </c>
      <c r="I58">
        <v>176.904</v>
      </c>
    </row>
    <row r="59" spans="1:9" hidden="1" x14ac:dyDescent="0.25">
      <c r="A59">
        <v>62</v>
      </c>
      <c r="B59" s="9" t="s">
        <v>0</v>
      </c>
      <c r="C59">
        <v>17</v>
      </c>
      <c r="D59">
        <v>17.29</v>
      </c>
      <c r="E59">
        <v>1.7290000000000001</v>
      </c>
      <c r="F59">
        <v>22</v>
      </c>
      <c r="G59" s="9" t="s">
        <v>21</v>
      </c>
      <c r="H59">
        <v>380.38</v>
      </c>
      <c r="I59">
        <v>342.34199999999998</v>
      </c>
    </row>
    <row r="60" spans="1:9" hidden="1" x14ac:dyDescent="0.25">
      <c r="A60">
        <v>63</v>
      </c>
      <c r="B60" s="9" t="s">
        <v>1</v>
      </c>
      <c r="C60">
        <v>17</v>
      </c>
      <c r="D60">
        <v>18.2</v>
      </c>
      <c r="E60">
        <v>1.82</v>
      </c>
      <c r="F60">
        <v>1</v>
      </c>
      <c r="G60" s="9" t="s">
        <v>11</v>
      </c>
      <c r="H60">
        <v>18.2</v>
      </c>
      <c r="I60">
        <v>16.38</v>
      </c>
    </row>
    <row r="61" spans="1:9" hidden="1" x14ac:dyDescent="0.25">
      <c r="A61">
        <v>64</v>
      </c>
      <c r="B61" s="9" t="s">
        <v>2</v>
      </c>
      <c r="C61">
        <v>17</v>
      </c>
      <c r="D61">
        <v>16.38</v>
      </c>
      <c r="E61">
        <v>1.6379999999999999</v>
      </c>
      <c r="F61">
        <v>25</v>
      </c>
      <c r="G61" s="9" t="s">
        <v>21</v>
      </c>
      <c r="H61">
        <v>409.5</v>
      </c>
      <c r="I61">
        <v>368.55</v>
      </c>
    </row>
    <row r="62" spans="1:9" hidden="1" x14ac:dyDescent="0.25">
      <c r="A62">
        <v>65</v>
      </c>
      <c r="B62" s="9" t="s">
        <v>0</v>
      </c>
      <c r="C62">
        <v>16</v>
      </c>
      <c r="D62">
        <v>17.29</v>
      </c>
      <c r="E62">
        <v>1.7290000000000001</v>
      </c>
      <c r="F62">
        <v>35</v>
      </c>
      <c r="G62" s="9" t="s">
        <v>21</v>
      </c>
      <c r="H62">
        <v>605.15</v>
      </c>
      <c r="I62">
        <v>544.63499999999999</v>
      </c>
    </row>
    <row r="63" spans="1:9" hidden="1" x14ac:dyDescent="0.25">
      <c r="A63">
        <v>66</v>
      </c>
      <c r="B63" s="9" t="s">
        <v>1</v>
      </c>
      <c r="C63">
        <v>16</v>
      </c>
      <c r="D63">
        <v>18.2</v>
      </c>
      <c r="E63">
        <v>1.82</v>
      </c>
      <c r="F63">
        <v>2</v>
      </c>
      <c r="G63" s="9" t="s">
        <v>11</v>
      </c>
      <c r="H63">
        <v>36.4</v>
      </c>
      <c r="I63">
        <v>32.76</v>
      </c>
    </row>
    <row r="64" spans="1:9" hidden="1" x14ac:dyDescent="0.25">
      <c r="A64">
        <v>67</v>
      </c>
      <c r="B64" s="9" t="s">
        <v>2</v>
      </c>
      <c r="C64">
        <v>16</v>
      </c>
      <c r="D64">
        <v>16.38</v>
      </c>
      <c r="E64">
        <v>1.6379999999999999</v>
      </c>
      <c r="F64">
        <v>37</v>
      </c>
      <c r="G64" s="9" t="s">
        <v>21</v>
      </c>
      <c r="H64">
        <v>606.05999999999995</v>
      </c>
      <c r="I64">
        <v>545.45399999999995</v>
      </c>
    </row>
    <row r="65" spans="1:9" hidden="1" x14ac:dyDescent="0.25">
      <c r="A65">
        <v>68</v>
      </c>
      <c r="B65" s="9" t="s">
        <v>1</v>
      </c>
      <c r="C65">
        <v>35</v>
      </c>
      <c r="D65">
        <v>20</v>
      </c>
      <c r="E65">
        <v>2</v>
      </c>
      <c r="F65">
        <v>50</v>
      </c>
      <c r="G65" s="9" t="s">
        <v>21</v>
      </c>
      <c r="H65">
        <v>1000</v>
      </c>
      <c r="I65">
        <v>900</v>
      </c>
    </row>
    <row r="66" spans="1:9" hidden="1" x14ac:dyDescent="0.25">
      <c r="A66">
        <v>69</v>
      </c>
      <c r="B66" s="9" t="s">
        <v>2</v>
      </c>
      <c r="C66">
        <v>32</v>
      </c>
      <c r="D66">
        <v>25</v>
      </c>
      <c r="E66">
        <v>2.5</v>
      </c>
      <c r="F66">
        <v>12</v>
      </c>
      <c r="G66" s="9" t="s">
        <v>21</v>
      </c>
      <c r="H66">
        <v>300</v>
      </c>
      <c r="I66">
        <v>270</v>
      </c>
    </row>
    <row r="67" spans="1:9" hidden="1" x14ac:dyDescent="0.25">
      <c r="A67">
        <v>70</v>
      </c>
      <c r="B67" s="9" t="s">
        <v>0</v>
      </c>
      <c r="C67">
        <v>10</v>
      </c>
      <c r="D67">
        <v>10</v>
      </c>
      <c r="E67">
        <v>1</v>
      </c>
      <c r="F67">
        <v>10</v>
      </c>
      <c r="G67" s="9" t="s">
        <v>21</v>
      </c>
      <c r="H67">
        <v>100</v>
      </c>
      <c r="I67">
        <v>90</v>
      </c>
    </row>
    <row r="68" spans="1:9" hidden="1" x14ac:dyDescent="0.25">
      <c r="A68">
        <v>71</v>
      </c>
      <c r="B68" s="9" t="s">
        <v>0</v>
      </c>
      <c r="C68">
        <v>10</v>
      </c>
      <c r="D68">
        <v>10</v>
      </c>
      <c r="E68">
        <v>1</v>
      </c>
      <c r="F68">
        <v>10</v>
      </c>
      <c r="G68" s="9" t="s">
        <v>21</v>
      </c>
      <c r="H68">
        <v>100</v>
      </c>
      <c r="I68">
        <v>90</v>
      </c>
    </row>
    <row r="69" spans="1:9" hidden="1" x14ac:dyDescent="0.25">
      <c r="A69">
        <v>502</v>
      </c>
      <c r="B69" s="9" t="s">
        <v>0</v>
      </c>
      <c r="C69">
        <v>36</v>
      </c>
      <c r="D69">
        <v>21.66</v>
      </c>
      <c r="E69">
        <v>2.1659999999999999</v>
      </c>
      <c r="F69">
        <v>3</v>
      </c>
      <c r="G69" s="9" t="s">
        <v>11</v>
      </c>
      <c r="H69">
        <v>64.98</v>
      </c>
      <c r="I69">
        <v>58.481999999999999</v>
      </c>
    </row>
    <row r="70" spans="1:9" x14ac:dyDescent="0.25">
      <c r="A70">
        <v>503</v>
      </c>
      <c r="B70" s="9" t="s">
        <v>1</v>
      </c>
      <c r="C70">
        <v>36</v>
      </c>
      <c r="D70">
        <v>22.8</v>
      </c>
      <c r="E70">
        <v>2.2799999999999998</v>
      </c>
      <c r="F70">
        <v>26</v>
      </c>
      <c r="G70" s="9" t="s">
        <v>21</v>
      </c>
      <c r="H70">
        <v>592.79999999999995</v>
      </c>
      <c r="I70">
        <v>533.52</v>
      </c>
    </row>
    <row r="71" spans="1:9" hidden="1" x14ac:dyDescent="0.25">
      <c r="A71">
        <v>504</v>
      </c>
      <c r="B71" s="9" t="s">
        <v>2</v>
      </c>
      <c r="C71">
        <v>36</v>
      </c>
      <c r="D71">
        <v>20.51</v>
      </c>
      <c r="E71">
        <v>2.0510000000000002</v>
      </c>
      <c r="F71">
        <v>7</v>
      </c>
      <c r="G71" s="9" t="s">
        <v>11</v>
      </c>
      <c r="H71">
        <v>143.57</v>
      </c>
      <c r="I71">
        <v>129.21299999999999</v>
      </c>
    </row>
    <row r="72" spans="1:9" hidden="1" x14ac:dyDescent="0.25">
      <c r="A72">
        <v>505</v>
      </c>
      <c r="B72" s="9" t="s">
        <v>0</v>
      </c>
      <c r="C72">
        <v>35</v>
      </c>
      <c r="D72">
        <v>21.66</v>
      </c>
      <c r="E72">
        <v>2.1659999999999999</v>
      </c>
      <c r="F72">
        <v>15</v>
      </c>
      <c r="G72" s="9" t="s">
        <v>21</v>
      </c>
      <c r="H72">
        <v>324.89999999999998</v>
      </c>
      <c r="I72">
        <v>292.41000000000003</v>
      </c>
    </row>
    <row r="73" spans="1:9" hidden="1" x14ac:dyDescent="0.25">
      <c r="A73">
        <v>506</v>
      </c>
      <c r="B73" s="9" t="s">
        <v>1</v>
      </c>
      <c r="C73">
        <v>35</v>
      </c>
      <c r="D73">
        <v>22.8</v>
      </c>
      <c r="E73">
        <v>2.2799999999999998</v>
      </c>
      <c r="F73">
        <v>31</v>
      </c>
      <c r="G73" s="9" t="s">
        <v>21</v>
      </c>
      <c r="H73">
        <v>706.8</v>
      </c>
      <c r="I73">
        <v>636.12</v>
      </c>
    </row>
    <row r="74" spans="1:9" hidden="1" x14ac:dyDescent="0.25">
      <c r="A74">
        <v>507</v>
      </c>
      <c r="B74" s="9" t="s">
        <v>2</v>
      </c>
      <c r="C74">
        <v>35</v>
      </c>
      <c r="D74">
        <v>20.52</v>
      </c>
      <c r="E74">
        <v>2.052</v>
      </c>
      <c r="F74">
        <v>7</v>
      </c>
      <c r="G74" s="9" t="s">
        <v>11</v>
      </c>
      <c r="H74">
        <v>143.63999999999999</v>
      </c>
      <c r="I74">
        <v>129.27600000000001</v>
      </c>
    </row>
    <row r="75" spans="1:9" hidden="1" x14ac:dyDescent="0.25">
      <c r="A75">
        <v>508</v>
      </c>
      <c r="B75" s="9" t="s">
        <v>0</v>
      </c>
      <c r="C75">
        <v>36</v>
      </c>
      <c r="D75">
        <v>23</v>
      </c>
      <c r="E75">
        <v>2.2999999999999998</v>
      </c>
      <c r="F75">
        <v>21</v>
      </c>
      <c r="G75" s="9" t="s">
        <v>21</v>
      </c>
      <c r="H75">
        <v>483</v>
      </c>
      <c r="I75">
        <v>434.7</v>
      </c>
    </row>
    <row r="76" spans="1:9" hidden="1" x14ac:dyDescent="0.25">
      <c r="A76">
        <v>509</v>
      </c>
      <c r="B76" s="9" t="s">
        <v>1</v>
      </c>
      <c r="C76">
        <v>34</v>
      </c>
      <c r="D76">
        <v>22.8</v>
      </c>
      <c r="E76">
        <v>2.2799999999999998</v>
      </c>
      <c r="F76">
        <v>19</v>
      </c>
      <c r="G76" s="9" t="s">
        <v>21</v>
      </c>
      <c r="H76">
        <v>433.2</v>
      </c>
      <c r="I76">
        <v>389.88</v>
      </c>
    </row>
    <row r="77" spans="1:9" hidden="1" x14ac:dyDescent="0.25">
      <c r="A77">
        <v>510</v>
      </c>
      <c r="B77" s="9" t="s">
        <v>2</v>
      </c>
      <c r="C77">
        <v>34</v>
      </c>
      <c r="D77">
        <v>20.52</v>
      </c>
      <c r="E77">
        <v>2.052</v>
      </c>
      <c r="F77">
        <v>11</v>
      </c>
      <c r="G77" s="9" t="s">
        <v>21</v>
      </c>
      <c r="H77">
        <v>225.72</v>
      </c>
      <c r="I77">
        <v>203.148</v>
      </c>
    </row>
    <row r="78" spans="1:9" hidden="1" x14ac:dyDescent="0.25">
      <c r="A78">
        <v>511</v>
      </c>
      <c r="B78" s="9" t="s">
        <v>0</v>
      </c>
      <c r="C78">
        <v>33</v>
      </c>
      <c r="D78">
        <v>21.66</v>
      </c>
      <c r="E78">
        <v>2.1659999999999999</v>
      </c>
      <c r="F78">
        <v>23</v>
      </c>
      <c r="G78" s="9" t="s">
        <v>21</v>
      </c>
      <c r="H78">
        <v>498.18</v>
      </c>
      <c r="I78">
        <v>448.36200000000002</v>
      </c>
    </row>
    <row r="79" spans="1:9" hidden="1" x14ac:dyDescent="0.25">
      <c r="A79">
        <v>512</v>
      </c>
      <c r="B79" s="9" t="s">
        <v>1</v>
      </c>
      <c r="C79">
        <v>33</v>
      </c>
      <c r="D79">
        <v>22.8</v>
      </c>
      <c r="E79">
        <v>2.2799999999999998</v>
      </c>
      <c r="F79">
        <v>11</v>
      </c>
      <c r="G79" s="9" t="s">
        <v>21</v>
      </c>
      <c r="H79">
        <v>250.8</v>
      </c>
      <c r="I79">
        <v>225.72</v>
      </c>
    </row>
    <row r="80" spans="1:9" hidden="1" x14ac:dyDescent="0.25">
      <c r="A80">
        <v>513</v>
      </c>
      <c r="B80" s="9" t="s">
        <v>2</v>
      </c>
      <c r="C80">
        <v>33</v>
      </c>
      <c r="D80">
        <v>20.52</v>
      </c>
      <c r="E80">
        <v>2.052</v>
      </c>
      <c r="F80">
        <v>12</v>
      </c>
      <c r="G80" s="9" t="s">
        <v>21</v>
      </c>
      <c r="H80">
        <v>246.24</v>
      </c>
      <c r="I80">
        <v>221.61600000000001</v>
      </c>
    </row>
    <row r="81" spans="1:9" hidden="1" x14ac:dyDescent="0.25">
      <c r="A81">
        <v>514</v>
      </c>
      <c r="B81" s="9" t="s">
        <v>0</v>
      </c>
      <c r="C81">
        <v>32</v>
      </c>
      <c r="D81">
        <v>21.66</v>
      </c>
      <c r="E81">
        <v>2.1659999999999999</v>
      </c>
      <c r="F81">
        <v>31</v>
      </c>
      <c r="G81" s="9" t="s">
        <v>21</v>
      </c>
      <c r="H81">
        <v>671.46</v>
      </c>
      <c r="I81">
        <v>604.31399999999996</v>
      </c>
    </row>
    <row r="82" spans="1:9" hidden="1" x14ac:dyDescent="0.25">
      <c r="A82">
        <v>515</v>
      </c>
      <c r="B82" s="9" t="s">
        <v>1</v>
      </c>
      <c r="C82">
        <v>32</v>
      </c>
      <c r="D82">
        <v>22.8</v>
      </c>
      <c r="E82">
        <v>2.2799999999999998</v>
      </c>
      <c r="F82">
        <v>12</v>
      </c>
      <c r="G82" s="9" t="s">
        <v>21</v>
      </c>
      <c r="H82">
        <v>273.60000000000002</v>
      </c>
      <c r="I82">
        <v>246.24</v>
      </c>
    </row>
    <row r="83" spans="1:9" hidden="1" x14ac:dyDescent="0.25">
      <c r="A83">
        <v>516</v>
      </c>
      <c r="B83" s="9" t="s">
        <v>2</v>
      </c>
      <c r="C83">
        <v>32</v>
      </c>
      <c r="D83">
        <v>20.52</v>
      </c>
      <c r="E83">
        <v>2.052</v>
      </c>
      <c r="F83">
        <v>0</v>
      </c>
      <c r="G83" s="9" t="s">
        <v>11</v>
      </c>
      <c r="H83">
        <v>0</v>
      </c>
      <c r="I83">
        <v>0</v>
      </c>
    </row>
    <row r="84" spans="1:9" hidden="1" x14ac:dyDescent="0.25">
      <c r="A84">
        <v>517</v>
      </c>
      <c r="B84" s="9" t="s">
        <v>0</v>
      </c>
      <c r="C84">
        <v>31</v>
      </c>
      <c r="D84">
        <v>21.66</v>
      </c>
      <c r="E84">
        <v>2.1659999999999999</v>
      </c>
      <c r="F84">
        <v>5</v>
      </c>
      <c r="G84" s="9" t="s">
        <v>11</v>
      </c>
      <c r="H84">
        <v>108.3</v>
      </c>
      <c r="I84">
        <v>97.47</v>
      </c>
    </row>
    <row r="85" spans="1:9" hidden="1" x14ac:dyDescent="0.25">
      <c r="A85">
        <v>518</v>
      </c>
      <c r="B85" s="9" t="s">
        <v>1</v>
      </c>
      <c r="C85">
        <v>31</v>
      </c>
      <c r="D85">
        <v>22.8</v>
      </c>
      <c r="E85">
        <v>2.2799999999999998</v>
      </c>
      <c r="F85">
        <v>24</v>
      </c>
      <c r="G85" s="9" t="s">
        <v>21</v>
      </c>
      <c r="H85">
        <v>547.20000000000005</v>
      </c>
      <c r="I85">
        <v>492.48</v>
      </c>
    </row>
    <row r="86" spans="1:9" hidden="1" x14ac:dyDescent="0.25">
      <c r="A86">
        <v>519</v>
      </c>
      <c r="B86" s="9" t="s">
        <v>2</v>
      </c>
      <c r="C86">
        <v>31</v>
      </c>
      <c r="D86">
        <v>20.52</v>
      </c>
      <c r="E86">
        <v>2.052</v>
      </c>
      <c r="F86">
        <v>32</v>
      </c>
      <c r="G86" s="9" t="s">
        <v>21</v>
      </c>
      <c r="H86">
        <v>656.64</v>
      </c>
      <c r="I86">
        <v>590.976</v>
      </c>
    </row>
    <row r="87" spans="1:9" hidden="1" x14ac:dyDescent="0.25">
      <c r="A87">
        <v>520</v>
      </c>
      <c r="B87" s="9" t="s">
        <v>0</v>
      </c>
      <c r="C87">
        <v>30</v>
      </c>
      <c r="D87">
        <v>19.475000000000001</v>
      </c>
      <c r="E87">
        <v>1.9475</v>
      </c>
      <c r="F87">
        <v>2</v>
      </c>
      <c r="G87" s="9" t="s">
        <v>11</v>
      </c>
      <c r="H87">
        <v>38.950000000000003</v>
      </c>
      <c r="I87">
        <v>35.055</v>
      </c>
    </row>
    <row r="88" spans="1:9" hidden="1" x14ac:dyDescent="0.25">
      <c r="A88">
        <v>521</v>
      </c>
      <c r="B88" s="9" t="s">
        <v>1</v>
      </c>
      <c r="C88">
        <v>30</v>
      </c>
      <c r="D88">
        <v>20.5</v>
      </c>
      <c r="E88">
        <v>2.0499999999999998</v>
      </c>
      <c r="F88">
        <v>0</v>
      </c>
      <c r="G88" s="9" t="s">
        <v>11</v>
      </c>
      <c r="H88">
        <v>0</v>
      </c>
      <c r="I88">
        <v>0</v>
      </c>
    </row>
    <row r="89" spans="1:9" hidden="1" x14ac:dyDescent="0.25">
      <c r="A89">
        <v>522</v>
      </c>
      <c r="B89" s="9" t="s">
        <v>2</v>
      </c>
      <c r="C89">
        <v>30</v>
      </c>
      <c r="D89">
        <v>18.45</v>
      </c>
      <c r="E89">
        <v>1.845</v>
      </c>
      <c r="F89">
        <v>28</v>
      </c>
      <c r="G89" s="9" t="s">
        <v>21</v>
      </c>
      <c r="H89">
        <v>516.6</v>
      </c>
      <c r="I89">
        <v>464.94</v>
      </c>
    </row>
    <row r="90" spans="1:9" hidden="1" x14ac:dyDescent="0.25">
      <c r="A90">
        <v>523</v>
      </c>
      <c r="B90" s="9" t="s">
        <v>0</v>
      </c>
      <c r="C90">
        <v>29</v>
      </c>
      <c r="D90">
        <v>19.475000000000001</v>
      </c>
      <c r="E90">
        <v>1.9475</v>
      </c>
      <c r="F90">
        <v>32</v>
      </c>
      <c r="G90" s="9" t="s">
        <v>21</v>
      </c>
      <c r="H90">
        <v>623.20000000000005</v>
      </c>
      <c r="I90">
        <v>560.88</v>
      </c>
    </row>
    <row r="91" spans="1:9" hidden="1" x14ac:dyDescent="0.25">
      <c r="A91">
        <v>524</v>
      </c>
      <c r="B91" s="9" t="s">
        <v>1</v>
      </c>
      <c r="C91">
        <v>29</v>
      </c>
      <c r="D91">
        <v>20.5</v>
      </c>
      <c r="E91">
        <v>2.0499999999999998</v>
      </c>
      <c r="F91">
        <v>0</v>
      </c>
      <c r="G91" s="9" t="s">
        <v>11</v>
      </c>
      <c r="H91">
        <v>0</v>
      </c>
      <c r="I91">
        <v>0</v>
      </c>
    </row>
    <row r="92" spans="1:9" hidden="1" x14ac:dyDescent="0.25">
      <c r="A92">
        <v>525</v>
      </c>
      <c r="B92" s="9" t="s">
        <v>2</v>
      </c>
      <c r="C92">
        <v>29</v>
      </c>
      <c r="D92">
        <v>18.45</v>
      </c>
      <c r="E92">
        <v>1.845</v>
      </c>
      <c r="F92">
        <v>25</v>
      </c>
      <c r="G92" s="9" t="s">
        <v>21</v>
      </c>
      <c r="H92">
        <v>461.25</v>
      </c>
      <c r="I92">
        <v>415.125</v>
      </c>
    </row>
    <row r="93" spans="1:9" hidden="1" x14ac:dyDescent="0.25">
      <c r="A93">
        <v>526</v>
      </c>
      <c r="B93" s="9" t="s">
        <v>0</v>
      </c>
      <c r="C93">
        <v>28</v>
      </c>
      <c r="D93">
        <v>19.475000000000001</v>
      </c>
      <c r="E93">
        <v>1.9475</v>
      </c>
      <c r="F93">
        <v>23</v>
      </c>
      <c r="G93" s="9" t="s">
        <v>21</v>
      </c>
      <c r="H93">
        <v>447.92500000000001</v>
      </c>
      <c r="I93">
        <v>403.13249999999999</v>
      </c>
    </row>
    <row r="94" spans="1:9" hidden="1" x14ac:dyDescent="0.25">
      <c r="A94">
        <v>527</v>
      </c>
      <c r="B94" s="9" t="s">
        <v>1</v>
      </c>
      <c r="C94">
        <v>28</v>
      </c>
      <c r="D94">
        <v>20.5</v>
      </c>
      <c r="E94">
        <v>2.0499999999999998</v>
      </c>
      <c r="F94">
        <v>3</v>
      </c>
      <c r="G94" s="9" t="s">
        <v>11</v>
      </c>
      <c r="H94">
        <v>61.5</v>
      </c>
      <c r="I94">
        <v>55.35</v>
      </c>
    </row>
    <row r="95" spans="1:9" hidden="1" x14ac:dyDescent="0.25">
      <c r="A95">
        <v>528</v>
      </c>
      <c r="B95" s="9" t="s">
        <v>2</v>
      </c>
      <c r="C95">
        <v>28</v>
      </c>
      <c r="D95">
        <v>18.45</v>
      </c>
      <c r="E95">
        <v>1.845</v>
      </c>
      <c r="F95">
        <v>0</v>
      </c>
      <c r="G95" s="9" t="s">
        <v>11</v>
      </c>
      <c r="H95">
        <v>0</v>
      </c>
      <c r="I95">
        <v>0</v>
      </c>
    </row>
    <row r="96" spans="1:9" hidden="1" x14ac:dyDescent="0.25">
      <c r="A96">
        <v>529</v>
      </c>
      <c r="B96" s="9" t="s">
        <v>0</v>
      </c>
      <c r="C96">
        <v>27</v>
      </c>
      <c r="D96">
        <v>19.475000000000001</v>
      </c>
      <c r="E96">
        <v>1.9475</v>
      </c>
      <c r="F96">
        <v>19</v>
      </c>
      <c r="G96" s="9" t="s">
        <v>21</v>
      </c>
      <c r="H96">
        <v>370.02499999999998</v>
      </c>
      <c r="I96">
        <v>333.02249999999998</v>
      </c>
    </row>
    <row r="97" spans="1:9" hidden="1" x14ac:dyDescent="0.25">
      <c r="A97">
        <v>530</v>
      </c>
      <c r="B97" s="9" t="s">
        <v>1</v>
      </c>
      <c r="C97">
        <v>27</v>
      </c>
      <c r="D97">
        <v>20.5</v>
      </c>
      <c r="E97">
        <v>2.0499999999999998</v>
      </c>
      <c r="F97">
        <v>12</v>
      </c>
      <c r="G97" s="9" t="s">
        <v>21</v>
      </c>
      <c r="H97">
        <v>246</v>
      </c>
      <c r="I97">
        <v>221.4</v>
      </c>
    </row>
    <row r="98" spans="1:9" hidden="1" x14ac:dyDescent="0.25">
      <c r="A98">
        <v>531</v>
      </c>
      <c r="B98" s="9" t="s">
        <v>2</v>
      </c>
      <c r="C98">
        <v>27</v>
      </c>
      <c r="D98">
        <v>18.45</v>
      </c>
      <c r="E98">
        <v>1.845</v>
      </c>
      <c r="F98">
        <v>5</v>
      </c>
      <c r="G98" s="9" t="s">
        <v>11</v>
      </c>
      <c r="H98">
        <v>92.25</v>
      </c>
      <c r="I98">
        <v>83.025000000000006</v>
      </c>
    </row>
    <row r="99" spans="1:9" hidden="1" x14ac:dyDescent="0.25">
      <c r="A99">
        <v>532</v>
      </c>
      <c r="B99" s="9" t="s">
        <v>0</v>
      </c>
      <c r="C99">
        <v>26</v>
      </c>
      <c r="D99">
        <v>19.475000000000001</v>
      </c>
      <c r="E99">
        <v>1.9475</v>
      </c>
      <c r="F99">
        <v>30</v>
      </c>
      <c r="G99" s="9" t="s">
        <v>21</v>
      </c>
      <c r="H99">
        <v>584.25</v>
      </c>
      <c r="I99">
        <v>525.82500000000005</v>
      </c>
    </row>
    <row r="100" spans="1:9" hidden="1" x14ac:dyDescent="0.25">
      <c r="A100">
        <v>533</v>
      </c>
      <c r="B100" s="9" t="s">
        <v>1</v>
      </c>
      <c r="C100">
        <v>26</v>
      </c>
      <c r="D100">
        <v>20.5</v>
      </c>
      <c r="E100">
        <v>2.0499999999999998</v>
      </c>
      <c r="F100">
        <v>35</v>
      </c>
      <c r="G100" s="9" t="s">
        <v>21</v>
      </c>
      <c r="H100">
        <v>717.5</v>
      </c>
      <c r="I100">
        <v>645.75</v>
      </c>
    </row>
    <row r="101" spans="1:9" hidden="1" x14ac:dyDescent="0.25">
      <c r="A101">
        <v>534</v>
      </c>
      <c r="B101" s="9" t="s">
        <v>2</v>
      </c>
      <c r="C101">
        <v>26</v>
      </c>
      <c r="D101">
        <v>18.45</v>
      </c>
      <c r="E101">
        <v>1.845</v>
      </c>
      <c r="F101">
        <v>12</v>
      </c>
      <c r="G101" s="9" t="s">
        <v>21</v>
      </c>
      <c r="H101">
        <v>221.4</v>
      </c>
      <c r="I101">
        <v>199.26</v>
      </c>
    </row>
    <row r="102" spans="1:9" hidden="1" x14ac:dyDescent="0.25">
      <c r="A102">
        <v>535</v>
      </c>
      <c r="B102" s="9" t="s">
        <v>0</v>
      </c>
      <c r="C102">
        <v>25</v>
      </c>
      <c r="D102">
        <v>19.475000000000001</v>
      </c>
      <c r="E102">
        <v>1.9475</v>
      </c>
      <c r="F102">
        <v>20</v>
      </c>
      <c r="G102" s="9" t="s">
        <v>21</v>
      </c>
      <c r="H102">
        <v>389.5</v>
      </c>
      <c r="I102">
        <v>350.55</v>
      </c>
    </row>
    <row r="103" spans="1:9" hidden="1" x14ac:dyDescent="0.25">
      <c r="A103">
        <v>536</v>
      </c>
      <c r="B103" s="9" t="s">
        <v>1</v>
      </c>
      <c r="C103">
        <v>25</v>
      </c>
      <c r="D103">
        <v>25.3</v>
      </c>
      <c r="E103">
        <v>2.5299999999999998</v>
      </c>
      <c r="F103">
        <v>25</v>
      </c>
      <c r="G103" s="9" t="s">
        <v>21</v>
      </c>
      <c r="H103">
        <v>632.5</v>
      </c>
      <c r="I103">
        <v>569.25</v>
      </c>
    </row>
    <row r="104" spans="1:9" hidden="1" x14ac:dyDescent="0.25">
      <c r="A104">
        <v>537</v>
      </c>
      <c r="B104" s="9" t="s">
        <v>2</v>
      </c>
      <c r="C104">
        <v>25</v>
      </c>
      <c r="D104">
        <v>18.45</v>
      </c>
      <c r="E104">
        <v>1.845</v>
      </c>
      <c r="F104">
        <v>16</v>
      </c>
      <c r="G104" s="9" t="s">
        <v>21</v>
      </c>
      <c r="H104">
        <v>295.2</v>
      </c>
      <c r="I104">
        <v>265.68</v>
      </c>
    </row>
    <row r="105" spans="1:9" hidden="1" x14ac:dyDescent="0.25">
      <c r="A105">
        <v>538</v>
      </c>
      <c r="B105" s="9" t="s">
        <v>0</v>
      </c>
      <c r="C105">
        <v>24</v>
      </c>
      <c r="D105">
        <v>18.905000000000001</v>
      </c>
      <c r="E105">
        <v>1.8905000000000001</v>
      </c>
      <c r="F105">
        <v>15</v>
      </c>
      <c r="G105" s="9" t="s">
        <v>21</v>
      </c>
      <c r="H105">
        <v>283.57499999999999</v>
      </c>
      <c r="I105">
        <v>255.2175</v>
      </c>
    </row>
    <row r="106" spans="1:9" hidden="1" x14ac:dyDescent="0.25">
      <c r="A106">
        <v>539</v>
      </c>
      <c r="B106" s="9" t="s">
        <v>1</v>
      </c>
      <c r="C106">
        <v>24</v>
      </c>
      <c r="D106">
        <v>19.899999999999999</v>
      </c>
      <c r="E106">
        <v>1.99</v>
      </c>
      <c r="F106">
        <v>23</v>
      </c>
      <c r="G106" s="9" t="s">
        <v>21</v>
      </c>
      <c r="H106">
        <v>457.7</v>
      </c>
      <c r="I106">
        <v>411.93</v>
      </c>
    </row>
    <row r="107" spans="1:9" hidden="1" x14ac:dyDescent="0.25">
      <c r="A107">
        <v>540</v>
      </c>
      <c r="B107" s="9" t="s">
        <v>2</v>
      </c>
      <c r="C107">
        <v>24</v>
      </c>
      <c r="D107">
        <v>17.91</v>
      </c>
      <c r="E107">
        <v>1.7909999999999999</v>
      </c>
      <c r="F107">
        <v>32</v>
      </c>
      <c r="G107" s="9" t="s">
        <v>21</v>
      </c>
      <c r="H107">
        <v>573.12</v>
      </c>
      <c r="I107">
        <v>515.80799999999999</v>
      </c>
    </row>
    <row r="108" spans="1:9" hidden="1" x14ac:dyDescent="0.25">
      <c r="A108">
        <v>541</v>
      </c>
      <c r="B108" s="9" t="s">
        <v>0</v>
      </c>
      <c r="C108">
        <v>23</v>
      </c>
      <c r="D108">
        <v>18.905000000000001</v>
      </c>
      <c r="E108">
        <v>1.8905000000000001</v>
      </c>
      <c r="F108">
        <v>0</v>
      </c>
      <c r="G108" s="9" t="s">
        <v>11</v>
      </c>
      <c r="H108">
        <v>0</v>
      </c>
      <c r="I108">
        <v>0</v>
      </c>
    </row>
    <row r="109" spans="1:9" hidden="1" x14ac:dyDescent="0.25">
      <c r="A109">
        <v>542</v>
      </c>
      <c r="B109" s="9" t="s">
        <v>1</v>
      </c>
      <c r="C109">
        <v>23</v>
      </c>
      <c r="D109">
        <v>19.899999999999999</v>
      </c>
      <c r="E109">
        <v>1.99</v>
      </c>
      <c r="F109">
        <v>15</v>
      </c>
      <c r="G109" s="9" t="s">
        <v>21</v>
      </c>
      <c r="H109">
        <v>298.5</v>
      </c>
      <c r="I109">
        <v>268.64999999999998</v>
      </c>
    </row>
    <row r="110" spans="1:9" hidden="1" x14ac:dyDescent="0.25">
      <c r="A110">
        <v>543</v>
      </c>
      <c r="B110" s="9" t="s">
        <v>2</v>
      </c>
      <c r="C110">
        <v>23</v>
      </c>
      <c r="D110">
        <v>17.91</v>
      </c>
      <c r="E110">
        <v>1.7909999999999999</v>
      </c>
      <c r="F110">
        <v>35</v>
      </c>
      <c r="G110" s="9" t="s">
        <v>21</v>
      </c>
      <c r="H110">
        <v>626.85</v>
      </c>
      <c r="I110">
        <v>564.16499999999996</v>
      </c>
    </row>
    <row r="111" spans="1:9" hidden="1" x14ac:dyDescent="0.25">
      <c r="A111">
        <v>544</v>
      </c>
      <c r="B111" s="9" t="s">
        <v>0</v>
      </c>
      <c r="C111">
        <v>22</v>
      </c>
      <c r="D111">
        <v>18.905000000000001</v>
      </c>
      <c r="E111">
        <v>1.8905000000000001</v>
      </c>
      <c r="F111">
        <v>2</v>
      </c>
      <c r="G111" s="9" t="s">
        <v>11</v>
      </c>
      <c r="H111">
        <v>37.81</v>
      </c>
      <c r="I111">
        <v>34.029000000000003</v>
      </c>
    </row>
    <row r="112" spans="1:9" hidden="1" x14ac:dyDescent="0.25">
      <c r="A112">
        <v>545</v>
      </c>
      <c r="B112" s="9" t="s">
        <v>1</v>
      </c>
      <c r="C112">
        <v>22</v>
      </c>
      <c r="D112">
        <v>19.899999999999999</v>
      </c>
      <c r="E112">
        <v>1.99</v>
      </c>
      <c r="F112">
        <v>12</v>
      </c>
      <c r="G112" s="9" t="s">
        <v>21</v>
      </c>
      <c r="H112">
        <v>238.8</v>
      </c>
      <c r="I112">
        <v>214.92</v>
      </c>
    </row>
    <row r="113" spans="1:9" hidden="1" x14ac:dyDescent="0.25">
      <c r="A113">
        <v>546</v>
      </c>
      <c r="B113" s="9" t="s">
        <v>2</v>
      </c>
      <c r="C113">
        <v>22</v>
      </c>
      <c r="D113">
        <v>17.91</v>
      </c>
      <c r="E113">
        <v>1.7909999999999999</v>
      </c>
      <c r="F113">
        <v>29</v>
      </c>
      <c r="G113" s="9" t="s">
        <v>21</v>
      </c>
      <c r="H113">
        <v>519.39</v>
      </c>
      <c r="I113">
        <v>467.45100000000002</v>
      </c>
    </row>
    <row r="114" spans="1:9" hidden="1" x14ac:dyDescent="0.25">
      <c r="A114">
        <v>547</v>
      </c>
      <c r="B114" s="9" t="s">
        <v>0</v>
      </c>
      <c r="C114">
        <v>21</v>
      </c>
      <c r="D114">
        <v>18.905000000000001</v>
      </c>
      <c r="E114">
        <v>1.8905000000000001</v>
      </c>
      <c r="F114">
        <v>10</v>
      </c>
      <c r="G114" s="9" t="s">
        <v>21</v>
      </c>
      <c r="H114">
        <v>189.05</v>
      </c>
      <c r="I114">
        <v>170.14500000000001</v>
      </c>
    </row>
    <row r="115" spans="1:9" hidden="1" x14ac:dyDescent="0.25">
      <c r="A115">
        <v>548</v>
      </c>
      <c r="B115" s="9" t="s">
        <v>1</v>
      </c>
      <c r="C115">
        <v>21</v>
      </c>
      <c r="D115">
        <v>19.899999999999999</v>
      </c>
      <c r="E115">
        <v>1.99</v>
      </c>
      <c r="F115">
        <v>10</v>
      </c>
      <c r="G115" s="9" t="s">
        <v>21</v>
      </c>
      <c r="H115">
        <v>199</v>
      </c>
      <c r="I115">
        <v>179.1</v>
      </c>
    </row>
    <row r="116" spans="1:9" hidden="1" x14ac:dyDescent="0.25">
      <c r="A116">
        <v>549</v>
      </c>
      <c r="B116" s="9" t="s">
        <v>2</v>
      </c>
      <c r="C116">
        <v>21</v>
      </c>
      <c r="D116">
        <v>17.91</v>
      </c>
      <c r="E116">
        <v>1.7909999999999999</v>
      </c>
      <c r="F116">
        <v>27</v>
      </c>
      <c r="G116" s="9" t="s">
        <v>21</v>
      </c>
      <c r="H116">
        <v>483.57</v>
      </c>
      <c r="I116">
        <v>435.21300000000002</v>
      </c>
    </row>
    <row r="117" spans="1:9" hidden="1" x14ac:dyDescent="0.25">
      <c r="A117">
        <v>550</v>
      </c>
      <c r="B117" s="9" t="s">
        <v>0</v>
      </c>
      <c r="C117">
        <v>20</v>
      </c>
      <c r="D117">
        <v>18.905000000000001</v>
      </c>
      <c r="E117">
        <v>1.8905000000000001</v>
      </c>
      <c r="F117">
        <v>15</v>
      </c>
      <c r="G117" s="9" t="s">
        <v>21</v>
      </c>
      <c r="H117">
        <v>283.57499999999999</v>
      </c>
      <c r="I117">
        <v>255.2175</v>
      </c>
    </row>
    <row r="118" spans="1:9" hidden="1" x14ac:dyDescent="0.25">
      <c r="A118">
        <v>551</v>
      </c>
      <c r="B118" s="9" t="s">
        <v>1</v>
      </c>
      <c r="C118">
        <v>20</v>
      </c>
      <c r="D118">
        <v>19.899999999999999</v>
      </c>
      <c r="E118">
        <v>1.99</v>
      </c>
      <c r="F118">
        <v>32</v>
      </c>
      <c r="G118" s="9" t="s">
        <v>21</v>
      </c>
      <c r="H118">
        <v>636.79999999999995</v>
      </c>
      <c r="I118">
        <v>573.12</v>
      </c>
    </row>
    <row r="119" spans="1:9" hidden="1" x14ac:dyDescent="0.25">
      <c r="A119">
        <v>552</v>
      </c>
      <c r="B119" s="9" t="s">
        <v>2</v>
      </c>
      <c r="C119">
        <v>20</v>
      </c>
      <c r="D119">
        <v>17.91</v>
      </c>
      <c r="E119">
        <v>1.7909999999999999</v>
      </c>
      <c r="F119">
        <v>5</v>
      </c>
      <c r="G119" s="9" t="s">
        <v>11</v>
      </c>
      <c r="H119">
        <v>89.55</v>
      </c>
      <c r="I119">
        <v>80.594999999999999</v>
      </c>
    </row>
    <row r="120" spans="1:9" hidden="1" x14ac:dyDescent="0.25">
      <c r="A120">
        <v>553</v>
      </c>
      <c r="B120" s="9" t="s">
        <v>0</v>
      </c>
      <c r="C120">
        <v>19</v>
      </c>
      <c r="D120">
        <v>17.29</v>
      </c>
      <c r="E120">
        <v>1.7290000000000001</v>
      </c>
      <c r="F120">
        <v>20</v>
      </c>
      <c r="G120" s="9" t="s">
        <v>21</v>
      </c>
      <c r="H120">
        <v>345.8</v>
      </c>
      <c r="I120">
        <v>311.22000000000003</v>
      </c>
    </row>
    <row r="121" spans="1:9" hidden="1" x14ac:dyDescent="0.25">
      <c r="A121">
        <v>554</v>
      </c>
      <c r="B121" s="9" t="s">
        <v>1</v>
      </c>
      <c r="C121">
        <v>19</v>
      </c>
      <c r="D121">
        <v>18.2</v>
      </c>
      <c r="E121">
        <v>1.82</v>
      </c>
      <c r="F121">
        <v>25</v>
      </c>
      <c r="G121" s="9" t="s">
        <v>21</v>
      </c>
      <c r="H121">
        <v>455</v>
      </c>
      <c r="I121">
        <v>409.5</v>
      </c>
    </row>
    <row r="122" spans="1:9" hidden="1" x14ac:dyDescent="0.25">
      <c r="A122">
        <v>555</v>
      </c>
      <c r="B122" s="9" t="s">
        <v>2</v>
      </c>
      <c r="C122">
        <v>19</v>
      </c>
      <c r="D122">
        <v>16.38</v>
      </c>
      <c r="E122">
        <v>1.6379999999999999</v>
      </c>
      <c r="F122">
        <v>3</v>
      </c>
      <c r="G122" s="9" t="s">
        <v>11</v>
      </c>
      <c r="H122">
        <v>49.14</v>
      </c>
      <c r="I122">
        <v>44.225999999999999</v>
      </c>
    </row>
    <row r="123" spans="1:9" hidden="1" x14ac:dyDescent="0.25">
      <c r="A123">
        <v>556</v>
      </c>
      <c r="B123" s="9" t="s">
        <v>0</v>
      </c>
      <c r="C123">
        <v>18</v>
      </c>
      <c r="D123">
        <v>17.29</v>
      </c>
      <c r="E123">
        <v>1.7290000000000001</v>
      </c>
      <c r="F123">
        <v>3</v>
      </c>
      <c r="G123" s="9" t="s">
        <v>11</v>
      </c>
      <c r="H123">
        <v>51.87</v>
      </c>
      <c r="I123">
        <v>46.683</v>
      </c>
    </row>
    <row r="124" spans="1:9" hidden="1" x14ac:dyDescent="0.25">
      <c r="A124">
        <v>557</v>
      </c>
      <c r="B124" s="9" t="s">
        <v>1</v>
      </c>
      <c r="C124">
        <v>18</v>
      </c>
      <c r="D124">
        <v>18.2</v>
      </c>
      <c r="E124">
        <v>1.82</v>
      </c>
      <c r="F124">
        <v>4</v>
      </c>
      <c r="G124" s="9" t="s">
        <v>11</v>
      </c>
      <c r="H124">
        <v>72.8</v>
      </c>
      <c r="I124">
        <v>65.52</v>
      </c>
    </row>
    <row r="125" spans="1:9" hidden="1" x14ac:dyDescent="0.25">
      <c r="A125">
        <v>558</v>
      </c>
      <c r="B125" s="9" t="s">
        <v>2</v>
      </c>
      <c r="C125">
        <v>18</v>
      </c>
      <c r="D125">
        <v>16.38</v>
      </c>
      <c r="E125">
        <v>1.6379999999999999</v>
      </c>
      <c r="F125">
        <v>12</v>
      </c>
      <c r="G125" s="9" t="s">
        <v>21</v>
      </c>
      <c r="H125">
        <v>196.56</v>
      </c>
      <c r="I125">
        <v>176.904</v>
      </c>
    </row>
    <row r="126" spans="1:9" hidden="1" x14ac:dyDescent="0.25">
      <c r="A126">
        <v>559</v>
      </c>
      <c r="B126" s="9" t="s">
        <v>0</v>
      </c>
      <c r="C126">
        <v>17</v>
      </c>
      <c r="D126">
        <v>17.29</v>
      </c>
      <c r="E126">
        <v>1.7290000000000001</v>
      </c>
      <c r="F126">
        <v>22</v>
      </c>
      <c r="G126" s="9" t="s">
        <v>21</v>
      </c>
      <c r="H126">
        <v>380.38</v>
      </c>
      <c r="I126">
        <v>342.34199999999998</v>
      </c>
    </row>
    <row r="127" spans="1:9" hidden="1" x14ac:dyDescent="0.25">
      <c r="A127">
        <v>560</v>
      </c>
      <c r="B127" s="9" t="s">
        <v>1</v>
      </c>
      <c r="C127">
        <v>17</v>
      </c>
      <c r="D127">
        <v>18.2</v>
      </c>
      <c r="E127">
        <v>1.82</v>
      </c>
      <c r="F127">
        <v>1</v>
      </c>
      <c r="G127" s="9" t="s">
        <v>11</v>
      </c>
      <c r="H127">
        <v>18.2</v>
      </c>
      <c r="I127">
        <v>16.38</v>
      </c>
    </row>
    <row r="128" spans="1:9" hidden="1" x14ac:dyDescent="0.25">
      <c r="A128">
        <v>561</v>
      </c>
      <c r="B128" s="9" t="s">
        <v>2</v>
      </c>
      <c r="C128">
        <v>17</v>
      </c>
      <c r="D128">
        <v>16.38</v>
      </c>
      <c r="E128">
        <v>1.6379999999999999</v>
      </c>
      <c r="F128">
        <v>25</v>
      </c>
      <c r="G128" s="9" t="s">
        <v>21</v>
      </c>
      <c r="H128">
        <v>409.5</v>
      </c>
      <c r="I128">
        <v>368.55</v>
      </c>
    </row>
    <row r="129" spans="1:9" hidden="1" x14ac:dyDescent="0.25">
      <c r="A129">
        <v>562</v>
      </c>
      <c r="B129" s="9" t="s">
        <v>0</v>
      </c>
      <c r="C129">
        <v>16</v>
      </c>
      <c r="D129">
        <v>17.29</v>
      </c>
      <c r="E129">
        <v>1.7290000000000001</v>
      </c>
      <c r="F129">
        <v>35</v>
      </c>
      <c r="G129" s="9" t="s">
        <v>21</v>
      </c>
      <c r="H129">
        <v>605.15</v>
      </c>
      <c r="I129">
        <v>544.63499999999999</v>
      </c>
    </row>
    <row r="130" spans="1:9" hidden="1" x14ac:dyDescent="0.25">
      <c r="A130">
        <v>563</v>
      </c>
      <c r="B130" s="9" t="s">
        <v>1</v>
      </c>
      <c r="C130">
        <v>16</v>
      </c>
      <c r="D130">
        <v>18.2</v>
      </c>
      <c r="E130">
        <v>1.82</v>
      </c>
      <c r="F130">
        <v>2</v>
      </c>
      <c r="G130" s="9" t="s">
        <v>11</v>
      </c>
      <c r="H130">
        <v>36.4</v>
      </c>
      <c r="I130">
        <v>32.76</v>
      </c>
    </row>
    <row r="131" spans="1:9" hidden="1" x14ac:dyDescent="0.25">
      <c r="A131">
        <v>564</v>
      </c>
      <c r="B131" s="9" t="s">
        <v>2</v>
      </c>
      <c r="C131">
        <v>16</v>
      </c>
      <c r="D131">
        <v>16.38</v>
      </c>
      <c r="E131">
        <v>1.6379999999999999</v>
      </c>
      <c r="F131">
        <v>37</v>
      </c>
      <c r="G131" s="9" t="s">
        <v>21</v>
      </c>
      <c r="H131">
        <v>606.05999999999995</v>
      </c>
      <c r="I131">
        <v>545.45399999999995</v>
      </c>
    </row>
    <row r="132" spans="1:9" hidden="1" x14ac:dyDescent="0.25">
      <c r="A132">
        <v>565</v>
      </c>
      <c r="B132" s="9" t="s">
        <v>1</v>
      </c>
      <c r="C132">
        <v>35</v>
      </c>
      <c r="D132">
        <v>20</v>
      </c>
      <c r="E132">
        <v>2</v>
      </c>
      <c r="F132">
        <v>50</v>
      </c>
      <c r="G132" s="9" t="s">
        <v>21</v>
      </c>
      <c r="H132">
        <v>1000</v>
      </c>
      <c r="I132">
        <v>900</v>
      </c>
    </row>
    <row r="133" spans="1:9" hidden="1" x14ac:dyDescent="0.25">
      <c r="A133">
        <v>566</v>
      </c>
      <c r="B133" s="9" t="s">
        <v>2</v>
      </c>
      <c r="C133">
        <v>32</v>
      </c>
      <c r="D133">
        <v>25</v>
      </c>
      <c r="E133">
        <v>2.5</v>
      </c>
      <c r="F133">
        <v>12</v>
      </c>
      <c r="G133" s="9" t="s">
        <v>21</v>
      </c>
      <c r="H133">
        <v>300</v>
      </c>
      <c r="I133">
        <v>270</v>
      </c>
    </row>
    <row r="134" spans="1:9" hidden="1" x14ac:dyDescent="0.25">
      <c r="A134">
        <v>567</v>
      </c>
      <c r="B134" s="9" t="s">
        <v>0</v>
      </c>
      <c r="C134">
        <v>10</v>
      </c>
      <c r="D134">
        <v>10</v>
      </c>
      <c r="E134">
        <v>1</v>
      </c>
      <c r="F134">
        <v>10</v>
      </c>
      <c r="G134" s="9" t="s">
        <v>21</v>
      </c>
      <c r="H134">
        <v>100</v>
      </c>
      <c r="I134">
        <v>90</v>
      </c>
    </row>
    <row r="135" spans="1:9" hidden="1" x14ac:dyDescent="0.25">
      <c r="A135">
        <v>568</v>
      </c>
      <c r="B135" s="10" t="s">
        <v>0</v>
      </c>
      <c r="C135" s="11">
        <v>10</v>
      </c>
      <c r="D135" s="11">
        <v>10</v>
      </c>
      <c r="E135" s="11">
        <v>1</v>
      </c>
      <c r="F135" s="11">
        <v>10</v>
      </c>
      <c r="G135" s="10" t="s">
        <v>21</v>
      </c>
      <c r="H135" s="11">
        <v>100</v>
      </c>
      <c r="I135" s="11">
        <v>90</v>
      </c>
    </row>
    <row r="136" spans="1:9" hidden="1" x14ac:dyDescent="0.25">
      <c r="A136">
        <v>999</v>
      </c>
      <c r="B136" s="9" t="s">
        <v>2</v>
      </c>
      <c r="C136">
        <v>35</v>
      </c>
      <c r="D136">
        <v>10</v>
      </c>
      <c r="E136">
        <v>0</v>
      </c>
      <c r="F136">
        <v>100</v>
      </c>
      <c r="G136" s="9"/>
      <c r="H136">
        <v>0</v>
      </c>
      <c r="I13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bLlamarFormReposicion">
                <anchor>
                  <from>
                    <xdr:col>9</xdr:col>
                    <xdr:colOff>76200</xdr:colOff>
                    <xdr:row>0</xdr:row>
                    <xdr:rowOff>76200</xdr:rowOff>
                  </from>
                  <to>
                    <xdr:col>10</xdr:col>
                    <xdr:colOff>361950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sheetPr codeName="Hoja4"/>
  <dimension ref="A1:E8"/>
  <sheetViews>
    <sheetView zoomScale="150" zoomScaleNormal="150" workbookViewId="0">
      <selection activeCell="A5" sqref="A5"/>
    </sheetView>
  </sheetViews>
  <sheetFormatPr baseColWidth="10" defaultRowHeight="15" x14ac:dyDescent="0.25"/>
  <cols>
    <col min="1" max="1" width="19.7109375" customWidth="1"/>
    <col min="2" max="2" width="33" customWidth="1"/>
    <col min="3" max="3" width="3.140625" customWidth="1"/>
    <col min="4" max="4" width="22.42578125" hidden="1" customWidth="1"/>
    <col min="5" max="5" width="26.5703125" hidden="1" customWidth="1"/>
  </cols>
  <sheetData>
    <row r="1" spans="1:5" x14ac:dyDescent="0.25">
      <c r="A1" s="3" t="s">
        <v>12</v>
      </c>
      <c r="B1" s="4" t="s">
        <v>18</v>
      </c>
      <c r="D1" s="3" t="s">
        <v>12</v>
      </c>
      <c r="E1" s="4" t="s">
        <v>18</v>
      </c>
    </row>
    <row r="2" spans="1:5" ht="15.75" thickBot="1" x14ac:dyDescent="0.3">
      <c r="A2" s="1" t="s">
        <v>13</v>
      </c>
      <c r="B2" s="5" t="s">
        <v>19</v>
      </c>
      <c r="D2" s="2" t="s">
        <v>14</v>
      </c>
      <c r="E2" s="8" t="str">
        <f>_xlfn.XLOOKUP(D2,A2:A7,B2:B7)</f>
        <v>seu.nome@outlook.com.br</v>
      </c>
    </row>
    <row r="3" spans="1:5" x14ac:dyDescent="0.25">
      <c r="A3" s="1" t="s">
        <v>14</v>
      </c>
      <c r="B3" s="5" t="s">
        <v>19</v>
      </c>
    </row>
    <row r="4" spans="1:5" x14ac:dyDescent="0.25">
      <c r="A4" s="1" t="s">
        <v>20</v>
      </c>
      <c r="B4" s="5" t="s">
        <v>19</v>
      </c>
    </row>
    <row r="5" spans="1:5" x14ac:dyDescent="0.25">
      <c r="A5" s="1" t="s">
        <v>15</v>
      </c>
      <c r="B5" s="5" t="s">
        <v>19</v>
      </c>
    </row>
    <row r="6" spans="1:5" x14ac:dyDescent="0.25">
      <c r="A6" s="1" t="s">
        <v>16</v>
      </c>
      <c r="B6" s="5" t="s">
        <v>19</v>
      </c>
    </row>
    <row r="7" spans="1:5" ht="15.75" thickBot="1" x14ac:dyDescent="0.3">
      <c r="A7" s="2" t="s">
        <v>17</v>
      </c>
      <c r="B7" s="6" t="s">
        <v>19</v>
      </c>
    </row>
    <row r="8" spans="1:5" x14ac:dyDescent="0.25">
      <c r="A8" s="7"/>
    </row>
  </sheetData>
  <phoneticPr fontId="4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display="email@proveedor2.com" xr:uid="{8946B59A-C88A-4C4F-B330-309F11CF535D}"/>
    <hyperlink ref="B4" r:id="rId4" display="email@proveedor3.com" xr:uid="{FD29901F-8AE7-4018-AFB8-4846D892756B}"/>
    <hyperlink ref="B5" r:id="rId5" display="email@proveedor4.com" xr:uid="{C391BD42-EA2D-4C4A-B814-C372318316F4}"/>
    <hyperlink ref="B6" r:id="rId6" display="email@proveedor5.com" xr:uid="{BA593FE9-2648-4ED4-8A98-B2F0282BF988}"/>
    <hyperlink ref="B7" r:id="rId7" display="email@proveedor6.com" xr:uid="{0F9BCAB6-D6B3-43D2-B854-3E8A440FA78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ED948-E703-48D5-BE4F-A8889CA4FE34}">
  <sheetPr codeName="Hoja6"/>
  <dimension ref="B2:B4"/>
  <sheetViews>
    <sheetView zoomScale="230" zoomScaleNormal="230" workbookViewId="0">
      <selection activeCell="B2" sqref="B2"/>
    </sheetView>
  </sheetViews>
  <sheetFormatPr baseColWidth="10" defaultRowHeight="15" x14ac:dyDescent="0.25"/>
  <cols>
    <col min="1" max="1" width="3" customWidth="1"/>
    <col min="2" max="2" width="79.5703125" customWidth="1"/>
  </cols>
  <sheetData>
    <row r="2" spans="2:2" x14ac:dyDescent="0.25">
      <c r="B2" t="s">
        <v>24</v>
      </c>
    </row>
    <row r="4" spans="2:2" x14ac:dyDescent="0.25">
      <c r="B4" t="s">
        <v>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3" ma:contentTypeDescription="Crie um novo documento." ma:contentTypeScope="" ma:versionID="b525bbb6548c187a5866d207a61ee26f">
  <xsd:schema xmlns:xsd="http://www.w3.org/2001/XMLSchema" xmlns:xs="http://www.w3.org/2001/XMLSchema" xmlns:p="http://schemas.microsoft.com/office/2006/metadata/properties" xmlns:ns2="4f05b7ab-9a2f-41ed-818c-74617ab702a7" xmlns:ns3="b7f85c95-9dfd-4a18-b8b1-0a9182cc4fb7" targetNamespace="http://schemas.microsoft.com/office/2006/metadata/properties" ma:root="true" ma:fieldsID="d9daf2d0a880eba26c6dec90f44db6ed" ns2:_="" ns3:_="">
    <xsd:import namespace="4f05b7ab-9a2f-41ed-818c-74617ab702a7"/>
    <xsd:import namespace="b7f85c95-9dfd-4a18-b8b1-0a9182cc4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efc7ddc0-9a8c-4dc4-996d-f4d816cbaa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f85c95-9dfd-4a18-b8b1-0a9182cc4fb7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dc0bbb76-aa18-45ff-9b51-618ac78a5513}" ma:internalName="TaxCatchAll" ma:showField="CatchAllData" ma:web="b7f85c95-9dfd-4a18-b8b1-0a9182cc4f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f05b7ab-9a2f-41ed-818c-74617ab702a7">
      <Terms xmlns="http://schemas.microsoft.com/office/infopath/2007/PartnerControls"/>
    </lcf76f155ced4ddcb4097134ff3c332f>
    <TaxCatchAll xmlns="b7f85c95-9dfd-4a18-b8b1-0a9182cc4fb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0461BCD-DDD9-401E-9A81-D5F076EC71B3}"/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EBA6114-33DB-4F2F-A823-4903F3A793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 de Niños</vt:lpstr>
      <vt:lpstr>Proveedores</vt:lpstr>
      <vt:lpstr>Plantilla SQL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2022-05-11T21:29:34Z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